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cea2797ffbf6ddd3/Documents/"/>
    </mc:Choice>
  </mc:AlternateContent>
  <xr:revisionPtr revIDLastSave="2382" documentId="8_{35093B99-6EC3-4F78-8C02-0EB15C6D3C91}" xr6:coauthVersionLast="47" xr6:coauthVersionMax="47" xr10:uidLastSave="{22AC83E5-7CBB-4911-B288-8A96FF12B436}"/>
  <bookViews>
    <workbookView xWindow="-120" yWindow="-120" windowWidth="38640" windowHeight="21240" activeTab="5" xr2:uid="{D2DB9DC8-50DE-471B-ABF2-97CDE2E30510}"/>
  </bookViews>
  <sheets>
    <sheet name="Cost and Key Assumptions" sheetId="1" r:id="rId1"/>
    <sheet name="Revenue Model" sheetId="2" r:id="rId2"/>
    <sheet name="NPV &amp; FCF Model" sheetId="3" r:id="rId3"/>
    <sheet name="Sensitivity Analysis" sheetId="5" r:id="rId4"/>
    <sheet name="Scenario Analysis" sheetId="6" r:id="rId5"/>
    <sheet name="University Success Impact" sheetId="7" r:id="rId6"/>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3" l="1"/>
  <c r="O11" i="6" s="1"/>
  <c r="C28" i="3"/>
  <c r="C27" i="3" a="1"/>
  <c r="C27" i="3" s="1"/>
  <c r="C6" i="1"/>
  <c r="C3" i="1"/>
  <c r="C7" i="1"/>
  <c r="C8" i="1"/>
  <c r="E18" i="2"/>
  <c r="C13" i="2"/>
  <c r="C11" i="2"/>
  <c r="C26" i="7"/>
  <c r="D26" i="7"/>
  <c r="E26" i="7"/>
  <c r="F26" i="7"/>
  <c r="B26" i="7"/>
  <c r="C25" i="7"/>
  <c r="D25" i="7"/>
  <c r="E25" i="7"/>
  <c r="F25" i="7"/>
  <c r="B25" i="7"/>
  <c r="C24" i="7"/>
  <c r="D24" i="7"/>
  <c r="E24" i="7"/>
  <c r="F24" i="7"/>
  <c r="B24" i="7"/>
  <c r="B17" i="7"/>
  <c r="F19" i="7" a="1"/>
  <c r="F19" i="7" s="1"/>
  <c r="C20" i="7" a="1"/>
  <c r="C20" i="7"/>
  <c r="D20" i="7" a="1"/>
  <c r="D20" i="7"/>
  <c r="E20" i="7" a="1"/>
  <c r="E20" i="7"/>
  <c r="F20" i="7" a="1"/>
  <c r="F20" i="7" s="1"/>
  <c r="B20" i="7" a="1"/>
  <c r="B20" i="7" s="1"/>
  <c r="C19" i="7" a="1"/>
  <c r="C19" i="7" s="1"/>
  <c r="D19" i="7" a="1"/>
  <c r="D19" i="7" s="1"/>
  <c r="E19" i="7" a="1"/>
  <c r="E19" i="7" s="1"/>
  <c r="B19" i="7" a="1"/>
  <c r="B19" i="7" s="1"/>
  <c r="B18" i="7" a="1"/>
  <c r="B18" i="7" s="1"/>
  <c r="F18" i="7" a="1"/>
  <c r="F18" i="7" s="1"/>
  <c r="C18" i="7" a="1"/>
  <c r="C18" i="7" s="1"/>
  <c r="D18" i="7" a="1"/>
  <c r="D18" i="7" s="1"/>
  <c r="E18" i="7" a="1"/>
  <c r="E18" i="7" s="1"/>
  <c r="C17" i="7"/>
  <c r="D17" i="7"/>
  <c r="E17" i="7"/>
  <c r="F17" i="7"/>
  <c r="D5" i="7"/>
  <c r="D6" i="7"/>
  <c r="D4" i="7"/>
  <c r="G10" i="6"/>
  <c r="E8" i="6"/>
  <c r="G8" i="6"/>
  <c r="E29" i="3"/>
  <c r="Q11" i="6" s="1"/>
  <c r="F29" i="3"/>
  <c r="R11" i="6" s="1"/>
  <c r="G29" i="3"/>
  <c r="D29" i="3"/>
  <c r="P11" i="6" s="1"/>
  <c r="B11" i="3"/>
  <c r="B10" i="3"/>
  <c r="B9" i="3"/>
  <c r="C88" i="1"/>
  <c r="C83" i="1"/>
  <c r="C84" i="1"/>
  <c r="C82" i="1"/>
  <c r="B83" i="1"/>
  <c r="B84" i="1"/>
  <c r="B82" i="1"/>
  <c r="G15" i="6"/>
  <c r="G14" i="6"/>
  <c r="G13" i="6"/>
  <c r="F15" i="6"/>
  <c r="F14" i="6"/>
  <c r="F13" i="6"/>
  <c r="Y8" i="6"/>
  <c r="F12" i="6" s="1"/>
  <c r="P8" i="6"/>
  <c r="Q8" i="6"/>
  <c r="R8" i="6"/>
  <c r="O8" i="6"/>
  <c r="F23" i="6"/>
  <c r="E60" i="3"/>
  <c r="AI8" i="6"/>
  <c r="AJ8" i="6" s="1"/>
  <c r="E21" i="6" l="1"/>
  <c r="N33" i="6" s="1"/>
  <c r="E10" i="6" s="1"/>
  <c r="AL11" i="6"/>
  <c r="AK11" i="6"/>
  <c r="AJ11" i="6"/>
  <c r="AI11" i="6"/>
  <c r="AB11" i="6"/>
  <c r="AA11" i="6"/>
  <c r="Z11" i="6"/>
  <c r="Y11" i="6"/>
  <c r="F20" i="6" s="1"/>
  <c r="Z8" i="6"/>
  <c r="AA8" i="6" s="1"/>
  <c r="AB8" i="6" s="1"/>
  <c r="G12" i="6"/>
  <c r="AK8" i="6"/>
  <c r="G21" i="6" l="1"/>
  <c r="F21" i="6"/>
  <c r="AL8" i="6"/>
  <c r="B13" i="3" l="1"/>
  <c r="O12" i="6"/>
  <c r="O13" i="6" s="1"/>
  <c r="E12" i="6"/>
  <c r="B19" i="3"/>
  <c r="AD2" i="6"/>
  <c r="T2" i="6"/>
  <c r="J2" i="6"/>
  <c r="AL43" i="6"/>
  <c r="AK43" i="6"/>
  <c r="AJ43" i="6"/>
  <c r="AI43" i="6"/>
  <c r="AH43" i="6"/>
  <c r="AL34" i="6"/>
  <c r="AK34" i="6"/>
  <c r="AJ34" i="6"/>
  <c r="AI34" i="6"/>
  <c r="AL30" i="6"/>
  <c r="AB43" i="6"/>
  <c r="AA43" i="6"/>
  <c r="Z43" i="6"/>
  <c r="Y43" i="6"/>
  <c r="X43" i="6"/>
  <c r="Y34" i="6"/>
  <c r="Z34" i="6" s="1"/>
  <c r="AA34" i="6" s="1"/>
  <c r="AB34" i="6" s="1"/>
  <c r="AB30" i="6"/>
  <c r="R43" i="6"/>
  <c r="Q43" i="6"/>
  <c r="P43" i="6"/>
  <c r="O43" i="6"/>
  <c r="N43" i="6"/>
  <c r="O34" i="6"/>
  <c r="P34" i="6" s="1"/>
  <c r="Q34" i="6" s="1"/>
  <c r="R34" i="6" s="1"/>
  <c r="R30" i="6"/>
  <c r="N29" i="6"/>
  <c r="D17" i="2"/>
  <c r="E59" i="3"/>
  <c r="F30" i="5"/>
  <c r="M39" i="5" s="1"/>
  <c r="F31" i="5"/>
  <c r="M40" i="5" s="1"/>
  <c r="F29" i="5"/>
  <c r="M38" i="5" s="1"/>
  <c r="E30" i="5"/>
  <c r="L39" i="5" s="1"/>
  <c r="E31" i="5"/>
  <c r="L40" i="5" s="1"/>
  <c r="E29" i="5"/>
  <c r="L38" i="5" s="1"/>
  <c r="D30" i="5"/>
  <c r="K39" i="5" s="1"/>
  <c r="D31" i="5"/>
  <c r="K40" i="5" s="1"/>
  <c r="D29" i="5"/>
  <c r="K38" i="5" s="1"/>
  <c r="C30" i="5"/>
  <c r="J39" i="5" s="1"/>
  <c r="C31" i="5"/>
  <c r="J40" i="5" s="1"/>
  <c r="C29" i="5"/>
  <c r="J38" i="5" s="1"/>
  <c r="B30" i="5"/>
  <c r="B31" i="5"/>
  <c r="B29" i="5"/>
  <c r="G61" i="3"/>
  <c r="F62" i="3"/>
  <c r="I60" i="3"/>
  <c r="I61" i="3"/>
  <c r="I59" i="3"/>
  <c r="H62" i="3"/>
  <c r="G60" i="3"/>
  <c r="G59" i="3"/>
  <c r="E54" i="3"/>
  <c r="E53" i="3"/>
  <c r="E52" i="3"/>
  <c r="L62" i="3"/>
  <c r="J62" i="3"/>
  <c r="B20" i="3"/>
  <c r="E26" i="3" s="1"/>
  <c r="D26" i="3" l="1"/>
  <c r="AJ9" i="6"/>
  <c r="AK9" i="6"/>
  <c r="AL9" i="6"/>
  <c r="AI9" i="6"/>
  <c r="F26" i="3"/>
  <c r="AL6" i="6"/>
  <c r="AL12" i="6" s="1"/>
  <c r="AK6" i="6"/>
  <c r="AK12" i="6" s="1"/>
  <c r="AI6" i="6"/>
  <c r="AJ6" i="6"/>
  <c r="AJ12" i="6" s="1"/>
  <c r="C26" i="3"/>
  <c r="Y9" i="6" s="1"/>
  <c r="Y6" i="6"/>
  <c r="F16" i="6" s="1"/>
  <c r="G26" i="3"/>
  <c r="P6" i="6"/>
  <c r="P20" i="6" s="1"/>
  <c r="O20" i="6"/>
  <c r="L47" i="5"/>
  <c r="L48" i="5" s="1"/>
  <c r="L49" i="5" s="1"/>
  <c r="M47" i="5"/>
  <c r="M48" i="5" s="1"/>
  <c r="M49" i="5" s="1"/>
  <c r="K47" i="5"/>
  <c r="K48" i="5" s="1"/>
  <c r="K49" i="5" s="1"/>
  <c r="E32" i="5"/>
  <c r="L45" i="5" s="1"/>
  <c r="J47" i="5"/>
  <c r="J48" i="5" s="1"/>
  <c r="J49" i="5" s="1"/>
  <c r="C32" i="5"/>
  <c r="J45" i="5" s="1"/>
  <c r="D32" i="5"/>
  <c r="K45" i="5" s="1"/>
  <c r="F32" i="5"/>
  <c r="M45" i="5" s="1"/>
  <c r="E61" i="3"/>
  <c r="P22" i="6" s="1"/>
  <c r="Y12" i="6" l="1"/>
  <c r="Y20" i="6" s="1"/>
  <c r="Z6" i="6"/>
  <c r="Z12" i="6" s="1"/>
  <c r="Y13" i="6" s="1"/>
  <c r="Y32" i="6" s="1"/>
  <c r="G16" i="6"/>
  <c r="AI12" i="6"/>
  <c r="AI20" i="6" s="1"/>
  <c r="AJ13" i="6"/>
  <c r="AK20" i="6"/>
  <c r="AL13" i="6"/>
  <c r="AL20" i="6"/>
  <c r="AK13" i="6"/>
  <c r="AI13" i="6"/>
  <c r="AJ20" i="6"/>
  <c r="Q6" i="6"/>
  <c r="Q12" i="6" s="1"/>
  <c r="Q13" i="6" s="1"/>
  <c r="P12" i="6"/>
  <c r="P13" i="6" s="1"/>
  <c r="P32" i="6" s="1"/>
  <c r="O22" i="6"/>
  <c r="E20" i="6" s="1"/>
  <c r="Q22" i="6"/>
  <c r="Z20" i="6" l="1"/>
  <c r="AA6" i="6"/>
  <c r="AA12" i="6" s="1"/>
  <c r="Z13" i="6" s="1"/>
  <c r="AL32" i="6"/>
  <c r="AJ32" i="6"/>
  <c r="R6" i="6"/>
  <c r="R12" i="6" s="1"/>
  <c r="R13" i="6" s="1"/>
  <c r="R32" i="6" s="1"/>
  <c r="Q20" i="6"/>
  <c r="R22" i="6"/>
  <c r="Q32" i="6"/>
  <c r="AK32" i="6"/>
  <c r="C23" i="3"/>
  <c r="D23" i="3" s="1"/>
  <c r="E23" i="3" s="1"/>
  <c r="F23" i="3" s="1"/>
  <c r="G23" i="3" s="1"/>
  <c r="AB6" i="6" l="1"/>
  <c r="AB12" i="6" s="1"/>
  <c r="AA20" i="6"/>
  <c r="Z32" i="6"/>
  <c r="R20" i="6"/>
  <c r="AB13" i="6" l="1"/>
  <c r="AA13" i="6"/>
  <c r="AA32" i="6" s="1"/>
  <c r="AB20" i="6"/>
  <c r="AB32" i="6" l="1"/>
  <c r="C24" i="2" l="1"/>
  <c r="D24" i="2" s="1"/>
  <c r="D23" i="2"/>
  <c r="D19" i="2"/>
  <c r="D18" i="2"/>
  <c r="C7" i="2"/>
  <c r="C75" i="1"/>
  <c r="C4" i="2" s="1"/>
  <c r="C67" i="1"/>
  <c r="C56" i="1"/>
  <c r="C4" i="1"/>
  <c r="C29" i="1" s="1"/>
  <c r="C30" i="1" s="1"/>
  <c r="F67" i="1" l="1"/>
  <c r="C3" i="2"/>
  <c r="F75" i="1"/>
  <c r="B14" i="3"/>
  <c r="E17" i="2"/>
  <c r="C80" i="1"/>
  <c r="C2" i="2"/>
  <c r="E56" i="1"/>
  <c r="E67" i="1"/>
  <c r="E75" i="1"/>
  <c r="F56" i="1"/>
  <c r="E24" i="2"/>
  <c r="C14" i="2"/>
  <c r="E19" i="2"/>
  <c r="E23" i="2"/>
  <c r="C17" i="1"/>
  <c r="C22" i="1" s="1"/>
  <c r="C18" i="1"/>
  <c r="C23" i="1" s="1"/>
  <c r="C31" i="1"/>
  <c r="C32" i="1" s="1"/>
  <c r="B18" i="3" l="1"/>
  <c r="C81" i="1"/>
  <c r="C6" i="2" s="1"/>
  <c r="F24" i="2" s="1"/>
  <c r="E80" i="1"/>
  <c r="F80" i="1"/>
  <c r="F27" i="3" a="1"/>
  <c r="F27" i="3" s="1"/>
  <c r="D27" i="3" a="1"/>
  <c r="D27" i="3" s="1"/>
  <c r="E27" i="3" a="1"/>
  <c r="E27" i="3" s="1"/>
  <c r="G27" i="3" a="1"/>
  <c r="G27" i="3" s="1"/>
  <c r="B15" i="3"/>
  <c r="C24" i="1"/>
  <c r="C25" i="1" s="1"/>
  <c r="C5" i="2" s="1"/>
  <c r="B12" i="3" l="1"/>
  <c r="G28" i="3" s="1"/>
  <c r="C12" i="2"/>
  <c r="F17" i="2"/>
  <c r="G36" i="3"/>
  <c r="B36" i="3"/>
  <c r="N13" i="6" s="1"/>
  <c r="X13" i="6" s="1"/>
  <c r="AH13" i="6"/>
  <c r="AB22" i="6"/>
  <c r="Z22" i="6"/>
  <c r="AA22" i="6"/>
  <c r="C8" i="2"/>
  <c r="C9" i="2" s="1"/>
  <c r="B8" i="3"/>
  <c r="B7" i="3"/>
  <c r="E36" i="3"/>
  <c r="F18" i="2"/>
  <c r="F36" i="3"/>
  <c r="C36" i="3"/>
  <c r="F19" i="2"/>
  <c r="K61" i="3"/>
  <c r="O10" i="6" s="1"/>
  <c r="K60" i="3"/>
  <c r="K59" i="3"/>
  <c r="C42" i="1"/>
  <c r="Y10" i="6" l="1"/>
  <c r="AI10" i="6"/>
  <c r="F37" i="3"/>
  <c r="F38" i="3" s="1"/>
  <c r="C37" i="3"/>
  <c r="C43" i="3" s="1"/>
  <c r="Y22" i="6"/>
  <c r="G37" i="3"/>
  <c r="G30" i="3"/>
  <c r="AI22" i="6"/>
  <c r="G20" i="6"/>
  <c r="E28" i="3"/>
  <c r="D28" i="3"/>
  <c r="F28" i="3"/>
  <c r="AH32" i="6"/>
  <c r="AI32" i="6"/>
  <c r="O32" i="6"/>
  <c r="N32" i="6"/>
  <c r="Z10" i="6"/>
  <c r="Z21" i="6" s="1" a="1"/>
  <c r="Z21" i="6" s="1"/>
  <c r="P10" i="6"/>
  <c r="E18" i="6"/>
  <c r="O21" i="6"/>
  <c r="C43" i="1"/>
  <c r="G18" i="6" l="1"/>
  <c r="AI21" i="6"/>
  <c r="AJ10" i="6"/>
  <c r="Y21" i="6" a="1"/>
  <c r="Y21" i="6" s="1"/>
  <c r="F18" i="6"/>
  <c r="E30" i="3"/>
  <c r="C38" i="3"/>
  <c r="F43" i="3"/>
  <c r="D30" i="3"/>
  <c r="C30" i="3"/>
  <c r="AJ22" i="6"/>
  <c r="G38" i="3"/>
  <c r="G43" i="3"/>
  <c r="F30" i="3"/>
  <c r="C10" i="2"/>
  <c r="F8" i="6"/>
  <c r="AH14" i="6"/>
  <c r="C79" i="1"/>
  <c r="X32" i="6"/>
  <c r="P21" i="6"/>
  <c r="Q10" i="6"/>
  <c r="AA10" i="6"/>
  <c r="AA21" i="6" s="1" a="1"/>
  <c r="AA21" i="6" s="1"/>
  <c r="D36" i="3"/>
  <c r="D37" i="3" s="1"/>
  <c r="AK10" i="6" l="1"/>
  <c r="AJ21" i="6"/>
  <c r="C89" i="1"/>
  <c r="N14" i="6"/>
  <c r="AL22" i="6"/>
  <c r="AK22" i="6"/>
  <c r="B4" i="3"/>
  <c r="F23" i="2"/>
  <c r="AL16" i="6"/>
  <c r="AI16" i="6"/>
  <c r="AJ16" i="6"/>
  <c r="AK16" i="6"/>
  <c r="X14" i="6"/>
  <c r="AH33" i="6"/>
  <c r="X33" i="6"/>
  <c r="AB10" i="6"/>
  <c r="AB21" i="6" s="1" a="1"/>
  <c r="AB21" i="6" s="1"/>
  <c r="R10" i="6"/>
  <c r="R21" i="6" s="1"/>
  <c r="Q21" i="6"/>
  <c r="E37" i="3"/>
  <c r="E43" i="3" s="1"/>
  <c r="D38" i="3"/>
  <c r="D43" i="3"/>
  <c r="AL10" i="6" l="1"/>
  <c r="AL21" i="6" s="1"/>
  <c r="AK21" i="6"/>
  <c r="Z16" i="6"/>
  <c r="AB16" i="6"/>
  <c r="Y16" i="6"/>
  <c r="AA16" i="6"/>
  <c r="B44" i="3"/>
  <c r="B45" i="3" s="1"/>
  <c r="B6" i="3"/>
  <c r="O33" i="6"/>
  <c r="P33" i="6" s="1"/>
  <c r="Q33" i="6" s="1"/>
  <c r="R33" i="6" s="1"/>
  <c r="N35" i="6"/>
  <c r="AI33" i="6"/>
  <c r="AJ33" i="6" s="1"/>
  <c r="AK33" i="6" s="1"/>
  <c r="AL33" i="6" s="1"/>
  <c r="AH35" i="6" a="1"/>
  <c r="AH35" i="6" s="1"/>
  <c r="P16" i="6"/>
  <c r="R16" i="6"/>
  <c r="O16" i="6"/>
  <c r="Q16" i="6"/>
  <c r="Y33" i="6"/>
  <c r="Z33" i="6" s="1"/>
  <c r="AA33" i="6" s="1"/>
  <c r="AB33" i="6" s="1"/>
  <c r="F10" i="6"/>
  <c r="X35" i="6"/>
  <c r="E38" i="3"/>
  <c r="C31" i="3" l="1"/>
  <c r="F31" i="3"/>
  <c r="G31" i="3"/>
  <c r="E31" i="3"/>
  <c r="D31" i="3"/>
  <c r="AH45" i="6"/>
  <c r="AH46" i="6" s="1"/>
  <c r="AH44" i="6"/>
  <c r="X45" i="6"/>
  <c r="X46" i="6" s="1"/>
  <c r="X44" i="6"/>
  <c r="N45" i="6"/>
  <c r="N46" i="6" s="1"/>
  <c r="N44" i="6"/>
  <c r="D42" i="3" l="1"/>
  <c r="D32" i="3"/>
  <c r="D33" i="3"/>
  <c r="D41" i="3" s="1"/>
  <c r="E42" i="3"/>
  <c r="E32" i="3"/>
  <c r="E33" i="3"/>
  <c r="E41" i="3" s="1"/>
  <c r="E45" i="3" s="1"/>
  <c r="G42" i="3"/>
  <c r="G32" i="3"/>
  <c r="G33" i="3"/>
  <c r="G41" i="3" s="1"/>
  <c r="F42" i="3"/>
  <c r="F33" i="3"/>
  <c r="F41" i="3" s="1"/>
  <c r="F45" i="3" s="1"/>
  <c r="F32" i="3"/>
  <c r="C42" i="3"/>
  <c r="C33" i="3"/>
  <c r="C41" i="3" s="1"/>
  <c r="C45" i="3" s="1"/>
  <c r="C32" i="3"/>
  <c r="O17" i="6"/>
  <c r="O23" i="6"/>
  <c r="D45" i="3" l="1"/>
  <c r="G45" i="3"/>
  <c r="O27" i="6"/>
  <c r="O24" i="6"/>
  <c r="O25" i="6" s="1"/>
  <c r="B51" i="3" l="1"/>
  <c r="B53" i="3"/>
  <c r="B49" i="3"/>
  <c r="H58" i="3" s="1"/>
  <c r="O26" i="6"/>
  <c r="O28" i="6" s="1"/>
  <c r="O35" i="6" s="1"/>
  <c r="F58" i="3" l="1"/>
  <c r="J58" i="3"/>
  <c r="O39" i="5"/>
  <c r="O40" i="5" s="1"/>
  <c r="O41" i="5" s="1"/>
  <c r="L58" i="3"/>
  <c r="F51" i="3"/>
  <c r="O45" i="6"/>
  <c r="O46" i="6" s="1"/>
  <c r="O44" i="6"/>
  <c r="R23" i="6" l="1"/>
  <c r="Q23" i="6"/>
  <c r="Q27" i="6" l="1"/>
  <c r="Q24" i="6"/>
  <c r="Q25" i="6" s="1"/>
  <c r="P23" i="6"/>
  <c r="P24" i="6" s="1"/>
  <c r="P17" i="6"/>
  <c r="R27" i="6"/>
  <c r="R24" i="6"/>
  <c r="R25" i="6" s="1"/>
  <c r="Q17" i="6" l="1"/>
  <c r="R17" i="6" s="1"/>
  <c r="R31" i="6" s="1"/>
  <c r="R26" i="6"/>
  <c r="R28" i="6" s="1"/>
  <c r="P27" i="6"/>
  <c r="P25" i="6"/>
  <c r="Q26" i="6"/>
  <c r="Q28" i="6" s="1"/>
  <c r="Q35" i="6" s="1"/>
  <c r="Q45" i="6" s="1"/>
  <c r="R35" i="6" l="1"/>
  <c r="R45" i="6" s="1"/>
  <c r="P26" i="6"/>
  <c r="P28" i="6" s="1"/>
  <c r="P35" i="6" s="1"/>
  <c r="L40" i="6" l="1"/>
  <c r="E29" i="6" s="1"/>
  <c r="L39" i="6"/>
  <c r="E28" i="6" s="1"/>
  <c r="L37" i="6"/>
  <c r="E26" i="6" s="1"/>
  <c r="L38" i="6"/>
  <c r="E27" i="6" s="1"/>
  <c r="P45" i="6"/>
  <c r="P46" i="6" s="1"/>
  <c r="P44" i="6"/>
  <c r="Q44" i="6" l="1"/>
  <c r="R44" i="6" s="1"/>
  <c r="Q46" i="6"/>
  <c r="R46" i="6" s="1"/>
  <c r="L41" i="6" l="1"/>
  <c r="E30" i="6" s="1"/>
  <c r="L42" i="6"/>
  <c r="E31" i="6" s="1"/>
  <c r="Y17" i="6"/>
  <c r="Y23" i="6"/>
  <c r="Y24" i="6" s="1"/>
  <c r="Y25" i="6" s="1"/>
  <c r="Y27" i="6" l="1"/>
  <c r="Y26" i="6"/>
  <c r="Y28" i="6" l="1"/>
  <c r="Y35" i="6" s="1"/>
  <c r="Y45" i="6" l="1"/>
  <c r="Y46" i="6" s="1"/>
  <c r="Y44" i="6"/>
  <c r="AA23" i="6"/>
  <c r="AB23" i="6"/>
  <c r="AB27" i="6" l="1"/>
  <c r="AB24" i="6"/>
  <c r="AB25" i="6" s="1"/>
  <c r="Z17" i="6"/>
  <c r="AA17" i="6" s="1"/>
  <c r="AB17" i="6" s="1"/>
  <c r="AB31" i="6" s="1"/>
  <c r="Z23" i="6"/>
  <c r="AA27" i="6"/>
  <c r="AA24" i="6"/>
  <c r="AA25" i="6" s="1"/>
  <c r="Z27" i="6" l="1"/>
  <c r="Z24" i="6"/>
  <c r="Z25" i="6" s="1"/>
  <c r="AA26" i="6"/>
  <c r="AA28" i="6" s="1"/>
  <c r="AA35" i="6" s="1"/>
  <c r="AA45" i="6" s="1"/>
  <c r="AB26" i="6"/>
  <c r="AB28" i="6" s="1"/>
  <c r="AB35" i="6" s="1"/>
  <c r="AB45" i="6" s="1"/>
  <c r="Z26" i="6" l="1"/>
  <c r="Z28" i="6" s="1"/>
  <c r="Z35" i="6" s="1"/>
  <c r="V39" i="6" s="1"/>
  <c r="V37" i="6" l="1"/>
  <c r="F26" i="6" s="1"/>
  <c r="V38" i="6"/>
  <c r="F27" i="6" s="1"/>
  <c r="F28" i="6"/>
  <c r="V40" i="6"/>
  <c r="F29" i="6" s="1"/>
  <c r="Z45" i="6"/>
  <c r="Z46" i="6" s="1"/>
  <c r="Z44" i="6"/>
  <c r="AA44" i="6" l="1"/>
  <c r="AB44" i="6" s="1"/>
  <c r="AA46" i="6"/>
  <c r="AB46" i="6" s="1"/>
  <c r="V42" i="6" s="1"/>
  <c r="F31" i="6" s="1"/>
  <c r="V41" i="6" l="1"/>
  <c r="F30" i="6" s="1"/>
  <c r="AI17" i="6" l="1"/>
  <c r="AI23" i="6"/>
  <c r="AI27" i="6" s="1"/>
  <c r="AI24" i="6" l="1"/>
  <c r="AI25" i="6" s="1"/>
  <c r="AI26" i="6" l="1"/>
  <c r="AI28" i="6" s="1"/>
  <c r="AI35" i="6" s="1"/>
  <c r="AI44" i="6" l="1"/>
  <c r="AI45" i="6"/>
  <c r="AI46" i="6" s="1"/>
  <c r="AK23" i="6" l="1"/>
  <c r="AL23" i="6"/>
  <c r="AJ17" i="6" l="1"/>
  <c r="AK17" i="6" s="1"/>
  <c r="AL17" i="6" s="1"/>
  <c r="AL31" i="6" s="1"/>
  <c r="AJ23" i="6"/>
  <c r="AL24" i="6"/>
  <c r="AL25" i="6" s="1"/>
  <c r="AL27" i="6"/>
  <c r="AK27" i="6"/>
  <c r="AK24" i="6"/>
  <c r="AK25" i="6" s="1"/>
  <c r="AK26" i="6" l="1"/>
  <c r="AK28" i="6" s="1"/>
  <c r="AK35" i="6" s="1"/>
  <c r="AK45" i="6" s="1"/>
  <c r="AL26" i="6"/>
  <c r="AL28" i="6" s="1"/>
  <c r="AL35" i="6" s="1"/>
  <c r="AL45" i="6" s="1"/>
  <c r="AJ27" i="6"/>
  <c r="AJ24" i="6"/>
  <c r="AJ25" i="6" s="1"/>
  <c r="AJ26" i="6" l="1"/>
  <c r="AJ28" i="6" s="1"/>
  <c r="AJ35" i="6" s="1"/>
  <c r="AF40" i="6" s="1"/>
  <c r="G29" i="6" s="1"/>
  <c r="AF38" i="6" l="1"/>
  <c r="G27" i="6" s="1"/>
  <c r="AF39" i="6"/>
  <c r="G28" i="6" s="1"/>
  <c r="AF37" i="6"/>
  <c r="G26" i="6" s="1"/>
  <c r="AJ45" i="6"/>
  <c r="AJ46" i="6" s="1"/>
  <c r="AJ44" i="6"/>
  <c r="AK44" i="6" l="1"/>
  <c r="AL44" i="6" s="1"/>
  <c r="AK46" i="6"/>
  <c r="AL46" i="6" s="1"/>
  <c r="AF41" i="6" l="1"/>
  <c r="G30" i="6" s="1"/>
  <c r="AF42" i="6"/>
  <c r="G31"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 Ehrhardt</author>
  </authors>
  <commentList>
    <comment ref="D56" authorId="0" shapeId="0" xr:uid="{2F0AACDC-AFA1-445D-8E7C-D85CAE3B5FA0}">
      <text>
        <r>
          <rPr>
            <b/>
            <sz val="10"/>
            <color indexed="81"/>
            <rFont val="Tahoma"/>
            <family val="2"/>
          </rPr>
          <t>Change the cells below to get different deviations. All other inputs will be updated automatically.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Mike Ehrhardt</author>
  </authors>
  <commentList>
    <comment ref="O36" authorId="0" shapeId="0" xr:uid="{10B4021D-1A41-48BD-9DD0-7980B83DFE89}">
      <text>
        <r>
          <rPr>
            <sz val="9"/>
            <color indexed="81"/>
            <rFont val="Tahoma"/>
            <family val="2"/>
          </rPr>
          <t>This puts in the dotted vertical line in the tornado diagram showing how the outcomes compare to the base case.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<sst xmlns="http://schemas.openxmlformats.org/spreadsheetml/2006/main" count="433" uniqueCount="281">
  <si>
    <t>Assumptions</t>
  </si>
  <si>
    <t>Value</t>
  </si>
  <si>
    <t>Notes</t>
  </si>
  <si>
    <t>Students (WTAMU)</t>
  </si>
  <si>
    <t>AVG Tokens per conversation</t>
  </si>
  <si>
    <t>AVG Conversations student/semester</t>
  </si>
  <si>
    <t>Tokens per student/semester</t>
  </si>
  <si>
    <t>Cost per 1M input tokens</t>
  </si>
  <si>
    <t>Cost per 1M output tokens</t>
  </si>
  <si>
    <t>Input:Output token Ratio</t>
  </si>
  <si>
    <t>60/40</t>
  </si>
  <si>
    <t>Semesters per Year</t>
  </si>
  <si>
    <t>Token Cost Calculation</t>
  </si>
  <si>
    <t>Input tokens per student</t>
  </si>
  <si>
    <t>Output tokens per student</t>
  </si>
  <si>
    <t>Cost per Student per Semester</t>
  </si>
  <si>
    <t>Input cost per student</t>
  </si>
  <si>
    <t>Output cost per student</t>
  </si>
  <si>
    <t>Total API cost per student/Semester</t>
  </si>
  <si>
    <t>Annual API cost per student</t>
  </si>
  <si>
    <t>Campus-Wide API Cost</t>
  </si>
  <si>
    <t>Annual tokens (all students)</t>
  </si>
  <si>
    <t>Total Annual cost (Input tokens)</t>
  </si>
  <si>
    <t>Total Annual cost (Output tokens)</t>
  </si>
  <si>
    <t>Total Annual API Cost</t>
  </si>
  <si>
    <t>How Big is 2,000 tokens?</t>
  </si>
  <si>
    <t xml:space="preserve">Token usage per Conversation </t>
  </si>
  <si>
    <t>AVG tokens per class/day</t>
  </si>
  <si>
    <t>AVG classes per student/semester</t>
  </si>
  <si>
    <t>AVG total tokens per day</t>
  </si>
  <si>
    <t>AVG Weekly tokens per student</t>
  </si>
  <si>
    <t>(MON-FRI) - 1/2 day SAT, SUN</t>
  </si>
  <si>
    <t>Backend service for scoring engine</t>
  </si>
  <si>
    <t>Student dashboard UI</t>
  </si>
  <si>
    <t>Instructor Dashboard UI</t>
  </si>
  <si>
    <t>Database + Intergration</t>
  </si>
  <si>
    <t>Authentication + roles</t>
  </si>
  <si>
    <t>≈ Total MVP Development Cost</t>
  </si>
  <si>
    <t>Ongoing Maintenance Costs</t>
  </si>
  <si>
    <t>monthly</t>
  </si>
  <si>
    <t>Minor feature updates</t>
  </si>
  <si>
    <t xml:space="preserve">Total Monthly Engineering Maintenance </t>
  </si>
  <si>
    <t>QA + Deployment + testing</t>
  </si>
  <si>
    <t>Estimated MVP Development Costs (CAPEX)</t>
  </si>
  <si>
    <t>App Server (EC2 / Cloud Run)</t>
  </si>
  <si>
    <t>Database (Postgres / MongoDB)</t>
  </si>
  <si>
    <t>Storage (conversation logs)</t>
  </si>
  <si>
    <t>CDN / API Gateway</t>
  </si>
  <si>
    <t>Usage logging (CloudWatch, Datadog, etc.)</t>
  </si>
  <si>
    <t>Authentication (Auth0 / Firebase)</t>
  </si>
  <si>
    <t>SSL, Domain, Misc.</t>
  </si>
  <si>
    <t>Total Monthly Infrastructure</t>
  </si>
  <si>
    <t xml:space="preserve">Cloued Hosting Infrastructure </t>
  </si>
  <si>
    <t>Third-Party SAAS Tools</t>
  </si>
  <si>
    <t>Error tracking (sentry, logRocket)</t>
  </si>
  <si>
    <t>User analytics (Mixpanel, Amplitude)</t>
  </si>
  <si>
    <t>Email service (SendGrid)</t>
  </si>
  <si>
    <t>Project Management / DevOps</t>
  </si>
  <si>
    <t>Total SaaS Tools</t>
  </si>
  <si>
    <t>3 month total</t>
  </si>
  <si>
    <t>6 Month Total (1 semester)</t>
  </si>
  <si>
    <t>CapEx</t>
  </si>
  <si>
    <t>Monthly (Operating Cost)</t>
  </si>
  <si>
    <t>Annual (Operating Costs)</t>
  </si>
  <si>
    <t>3 month runway</t>
  </si>
  <si>
    <t>6 month runway</t>
  </si>
  <si>
    <t>Start Up Funding Requirement</t>
  </si>
  <si>
    <t xml:space="preserve">Revenue Assumptions </t>
  </si>
  <si>
    <t>Infrastructure (annual)</t>
  </si>
  <si>
    <t>SaaS tools (annual)</t>
  </si>
  <si>
    <t>Total Annual OPEX</t>
  </si>
  <si>
    <t>Students</t>
  </si>
  <si>
    <t>Cost per Student per YEAR</t>
  </si>
  <si>
    <t>Cost per Student per SEMESTER</t>
  </si>
  <si>
    <t>Engineering Maintenance (annual)</t>
  </si>
  <si>
    <t>Pricing Tiers</t>
  </si>
  <si>
    <t>Price / Year</t>
  </si>
  <si>
    <t>Revenue</t>
  </si>
  <si>
    <t>Price / Semester</t>
  </si>
  <si>
    <t>Minimum Viable Pricing (Break Even)</t>
  </si>
  <si>
    <t>Standard</t>
  </si>
  <si>
    <t>Premium</t>
  </si>
  <si>
    <t>Initial Capital Expenditure</t>
  </si>
  <si>
    <t>Annual Institution Licensing Fee</t>
  </si>
  <si>
    <t>-</t>
  </si>
  <si>
    <t>WTAMU Pilot Pricing</t>
  </si>
  <si>
    <t>Total Annual OPEX &amp; CAPEX</t>
  </si>
  <si>
    <t>year 2</t>
  </si>
  <si>
    <t>year 1 (Life Time A.I.L Fee waiver)</t>
  </si>
  <si>
    <t>Initial Capital Expenditure (Year 0)</t>
  </si>
  <si>
    <t>Useful Life of Assets (in year)</t>
  </si>
  <si>
    <t>Annual Depreciation</t>
  </si>
  <si>
    <t>Tax Rate</t>
  </si>
  <si>
    <t>Cost of Capital</t>
  </si>
  <si>
    <t>Year</t>
  </si>
  <si>
    <t>Unlevered Income Statements</t>
  </si>
  <si>
    <t>Revenues</t>
  </si>
  <si>
    <t>EBITDA</t>
  </si>
  <si>
    <t>Depreciation</t>
  </si>
  <si>
    <t>Tax</t>
  </si>
  <si>
    <t>Unlevered Net Income</t>
  </si>
  <si>
    <t>Working Capital Calculations</t>
  </si>
  <si>
    <t>NWC Level</t>
  </si>
  <si>
    <t>Change in NWC</t>
  </si>
  <si>
    <t>CF from Change in NWC</t>
  </si>
  <si>
    <t>Calculating Free Cash Flows</t>
  </si>
  <si>
    <t>Add Back Depreciation</t>
  </si>
  <si>
    <t>Subtract Change in NWC</t>
  </si>
  <si>
    <t>Subtract Capital Expenditure</t>
  </si>
  <si>
    <t>Free Cash Flow</t>
  </si>
  <si>
    <t>Discount Factor (1/(1+r)^n)</t>
  </si>
  <si>
    <t>PV(FCF)</t>
  </si>
  <si>
    <t>NPV</t>
  </si>
  <si>
    <t>NPV for AI Compliance app</t>
  </si>
  <si>
    <t>Initial Net working capital as 3% of (Standard) Revenue Sales (Year 0)</t>
  </si>
  <si>
    <t>COGS</t>
  </si>
  <si>
    <t>Revenues in Year 1 (WTAMU Pilot Pricing)</t>
  </si>
  <si>
    <t>IRR</t>
  </si>
  <si>
    <t>MIRR</t>
  </si>
  <si>
    <t>Payback</t>
  </si>
  <si>
    <t>Deviation</t>
  </si>
  <si>
    <t>Equipment</t>
  </si>
  <si>
    <t>Sales Price/unit</t>
  </si>
  <si>
    <t>VC/Unit</t>
  </si>
  <si>
    <t>from Base</t>
  </si>
  <si>
    <t>Range =</t>
  </si>
  <si>
    <t>Sales</t>
  </si>
  <si>
    <t>Price/unit</t>
  </si>
  <si>
    <t>Standard Pricing per Student</t>
  </si>
  <si>
    <t>Number of Students</t>
  </si>
  <si>
    <t>WTAMU 1st year Pricing per student</t>
  </si>
  <si>
    <t>Annual Operating Expenses (OPEX)</t>
  </si>
  <si>
    <t>VC/Students</t>
  </si>
  <si>
    <t>Sales (Students)</t>
  </si>
  <si>
    <t>Sales / Students</t>
  </si>
  <si>
    <t>Annual API Costs per Student</t>
  </si>
  <si>
    <t>Variable Costs (Annual API per Student)</t>
  </si>
  <si>
    <t>Variable Costs (API per Student)</t>
  </si>
  <si>
    <t>The following graph is meaningful only if the scenario is set to the Base-Case.</t>
  </si>
  <si>
    <t xml:space="preserve">Figure 11-3 </t>
  </si>
  <si>
    <t xml:space="preserve">Data for Sensitivity Graph </t>
  </si>
  <si>
    <t>NPV with Variables at Different Deviations from Base</t>
  </si>
  <si>
    <t>Equip.</t>
  </si>
  <si>
    <t>Price</t>
  </si>
  <si>
    <t>Units</t>
  </si>
  <si>
    <t>Range</t>
  </si>
  <si>
    <t>Sensitivity Graph for OP Papertrail APP Project (Dollars in Thousands)</t>
  </si>
  <si>
    <t>VC/API per Student</t>
  </si>
  <si>
    <t xml:space="preserve">Figure 11-4 </t>
  </si>
  <si>
    <t>X-values for diagram below</t>
  </si>
  <si>
    <t>Rank of Range of NPV from Sensitivity Table Above</t>
  </si>
  <si>
    <t>Rank</t>
  </si>
  <si>
    <t>Y-values for diagram below</t>
  </si>
  <si>
    <t>Scratch for Tornado Diagram Below</t>
  </si>
  <si>
    <t>Base NPV =</t>
  </si>
  <si>
    <t>Y-axis</t>
  </si>
  <si>
    <t>Tornado Diagram for  OP Papertrail APP Project: Range of Outcomes for Input Deviations from Base-Case (Dollars in Thousands)</t>
  </si>
  <si>
    <t>EBITDA/Sales profit margin (Standard subscription price 10k students</t>
  </si>
  <si>
    <t xml:space="preserve">Figure 11-5 </t>
  </si>
  <si>
    <t>Inputs and Key Results for Each Scenario (Dollars in Thousands)</t>
  </si>
  <si>
    <t>Scenarios:</t>
  </si>
  <si>
    <t>Scenario Name</t>
  </si>
  <si>
    <t>Worst-Case</t>
  </si>
  <si>
    <t>Base-Case</t>
  </si>
  <si>
    <t>Best-Case</t>
  </si>
  <si>
    <t>Probability of Scenario</t>
  </si>
  <si>
    <t>Inputs:</t>
  </si>
  <si>
    <t>Salvage value of equip. in Year 4</t>
  </si>
  <si>
    <t>Opportunity cost</t>
  </si>
  <si>
    <t>Externalities (cannibalization)</t>
  </si>
  <si>
    <t>Units sold, Year 1</t>
  </si>
  <si>
    <t>Units sold, Year 2, Pct. change from Year 1</t>
  </si>
  <si>
    <t>Units sold, Year 3, Pct. change from Year 1</t>
  </si>
  <si>
    <t>Units sold, Year 4, Pct. change from Year 1</t>
  </si>
  <si>
    <t>Sales price per unit, Year 1</t>
  </si>
  <si>
    <t>% Δ in sales price, after Year 1</t>
  </si>
  <si>
    <t>Var. cost per unit (VC), Year 1</t>
  </si>
  <si>
    <t>% Δ in VC, after Year 1</t>
  </si>
  <si>
    <t>Nonvar. cost (Non-VC), Year 1</t>
  </si>
  <si>
    <t>% Δ in Non-VC, after Year 1</t>
  </si>
  <si>
    <t>Project WACC</t>
  </si>
  <si>
    <t>Tax rate</t>
  </si>
  <si>
    <t>NOWC as % of next year's sales</t>
  </si>
  <si>
    <t>Key Results:</t>
  </si>
  <si>
    <t>NPV =</t>
  </si>
  <si>
    <t>IRR =</t>
  </si>
  <si>
    <t>MIRR =</t>
  </si>
  <si>
    <t>Profitability index =</t>
  </si>
  <si>
    <t>Payback =</t>
  </si>
  <si>
    <t>Discounted payback =</t>
  </si>
  <si>
    <t>Analysis for Scenario Shown Below:</t>
  </si>
  <si>
    <t>Intermediate Calculations</t>
  </si>
  <si>
    <t>Sales price per unit</t>
  </si>
  <si>
    <t>Variable cost per unit (excl. depr.)</t>
  </si>
  <si>
    <t>Nonvariable costs (excl. depr.)</t>
  </si>
  <si>
    <r>
      <t>NOWC</t>
    </r>
    <r>
      <rPr>
        <b/>
        <vertAlign val="subscript"/>
        <sz val="8"/>
        <rFont val="Cambria"/>
        <family val="1"/>
      </rPr>
      <t>t</t>
    </r>
    <r>
      <rPr>
        <b/>
        <sz val="8"/>
        <rFont val="Cambria"/>
        <family val="1"/>
      </rPr>
      <t xml:space="preserve"> = 10%(Revenues</t>
    </r>
    <r>
      <rPr>
        <b/>
        <vertAlign val="subscript"/>
        <sz val="8"/>
        <rFont val="Cambria"/>
        <family val="1"/>
      </rPr>
      <t>t+1</t>
    </r>
    <r>
      <rPr>
        <b/>
        <sz val="8"/>
        <rFont val="Cambria"/>
        <family val="1"/>
      </rPr>
      <t>)</t>
    </r>
  </si>
  <si>
    <t>Basis for depreciation</t>
  </si>
  <si>
    <t>Annual depreciation rate (MACRS)</t>
  </si>
  <si>
    <t>Annual depreciation expense</t>
  </si>
  <si>
    <t>Remaining undepreciated value</t>
  </si>
  <si>
    <t>Cash Flow Forecast</t>
  </si>
  <si>
    <t>Cash Flows at End of Year</t>
  </si>
  <si>
    <t>Nonvariable costs (excluding depreciation)</t>
  </si>
  <si>
    <t>Earnings before interest and taxes (EBIT)</t>
  </si>
  <si>
    <t>Taxes on operating profit  (25% rate)</t>
  </si>
  <si>
    <t>Net operating profit after taxes</t>
  </si>
  <si>
    <t>Add back depreciation</t>
  </si>
  <si>
    <t>Project recurring cash flows</t>
  </si>
  <si>
    <t>Equipment purchases</t>
  </si>
  <si>
    <t>Salvage value</t>
  </si>
  <si>
    <t>Cash flow due to tax on salvage value (25% rate)</t>
  </si>
  <si>
    <t>Cash flow due to change in WC</t>
  </si>
  <si>
    <t>Opportunity cost, after taxes</t>
  </si>
  <si>
    <t>After-tax cannibalization or complementary effect</t>
  </si>
  <si>
    <t>Project cash flows: Time Line</t>
  </si>
  <si>
    <t>Project Evaluation Measures</t>
  </si>
  <si>
    <t xml:space="preserve">NPV </t>
  </si>
  <si>
    <t>Profitability index</t>
  </si>
  <si>
    <t>Discounted payback</t>
  </si>
  <si>
    <t>Calculations for Payback</t>
  </si>
  <si>
    <t>Year:</t>
  </si>
  <si>
    <t xml:space="preserve">   Cumulative cash flows for payback</t>
  </si>
  <si>
    <t xml:space="preserve">   Discounted cash flows for disc. payback</t>
  </si>
  <si>
    <t xml:space="preserve">   Cumulative discounted cash flows</t>
  </si>
  <si>
    <t>Equipment cost (CAPEX)</t>
  </si>
  <si>
    <t>Cash flow due to tax on salvage value (21% rate)</t>
  </si>
  <si>
    <t>Taxes on operating profit  (21% rate)</t>
  </si>
  <si>
    <t xml:space="preserve">Number of Schools licensed </t>
  </si>
  <si>
    <t>Revenue Generated from (AIL)</t>
  </si>
  <si>
    <t>AIL # of Schools Licensed</t>
  </si>
  <si>
    <t>Unit sales (BASE)</t>
  </si>
  <si>
    <t>Annual AIL (BASE) Fee</t>
  </si>
  <si>
    <t>AIL # of Schools</t>
  </si>
  <si>
    <t>Developer maintenance &amp; bug fixes</t>
  </si>
  <si>
    <t># of Students (users) Annual</t>
  </si>
  <si>
    <t># of Students (Users) Annual</t>
  </si>
  <si>
    <r>
      <t>NOWC</t>
    </r>
    <r>
      <rPr>
        <b/>
        <vertAlign val="subscript"/>
        <sz val="8"/>
        <rFont val="Cambria"/>
        <family val="1"/>
      </rPr>
      <t>t</t>
    </r>
    <r>
      <rPr>
        <b/>
        <sz val="8"/>
        <rFont val="Cambria"/>
        <family val="1"/>
      </rPr>
      <t xml:space="preserve"> = 10%(Revenues</t>
    </r>
    <r>
      <rPr>
        <b/>
        <vertAlign val="subscript"/>
        <sz val="8"/>
        <rFont val="Cambria"/>
        <family val="1"/>
      </rPr>
      <t>t+1</t>
    </r>
    <r>
      <rPr>
        <b/>
        <sz val="8"/>
        <rFont val="Cambria"/>
        <family val="1"/>
      </rPr>
      <t>)(YR4 10% of annual revenue YR3)</t>
    </r>
  </si>
  <si>
    <r>
      <t>NOWC</t>
    </r>
    <r>
      <rPr>
        <b/>
        <vertAlign val="subscript"/>
        <sz val="8"/>
        <rFont val="Cambria"/>
        <family val="1"/>
      </rPr>
      <t>t</t>
    </r>
    <r>
      <rPr>
        <b/>
        <sz val="8"/>
        <rFont val="Cambria"/>
        <family val="1"/>
      </rPr>
      <t xml:space="preserve"> = 10%(Revenues</t>
    </r>
    <r>
      <rPr>
        <b/>
        <vertAlign val="subscript"/>
        <sz val="8"/>
        <rFont val="Cambria"/>
        <family val="1"/>
      </rPr>
      <t>t+1</t>
    </r>
    <r>
      <rPr>
        <b/>
        <sz val="8"/>
        <rFont val="Cambria"/>
        <family val="1"/>
      </rPr>
      <t>) (YR4 10% of annual revenue YR3)</t>
    </r>
  </si>
  <si>
    <t>NWC as 3% of (Standart) Revenue for SaaS</t>
  </si>
  <si>
    <t>Employee Compensation</t>
  </si>
  <si>
    <t>CEO Salary</t>
  </si>
  <si>
    <t>Founder CEO Base Annual Salary</t>
  </si>
  <si>
    <t>Contract DEV Support (YR1 MVP Build)</t>
  </si>
  <si>
    <t>Product Enhancement &amp; Major Feature DEV BUDGET (Annual)</t>
  </si>
  <si>
    <t>Early Stage Cost Summary</t>
  </si>
  <si>
    <t>Baseline Operating (OPEX)</t>
  </si>
  <si>
    <t>Contract DEV (YR1 only)</t>
  </si>
  <si>
    <t>Feature DEV BUDGET (YR 2-5)</t>
  </si>
  <si>
    <t>Sales revenues = Users × Price/unit</t>
  </si>
  <si>
    <t>CAGR From Base (Adoption Growth)</t>
  </si>
  <si>
    <t>Variable costs  = Users × Cost/unit</t>
  </si>
  <si>
    <t>Scenario</t>
  </si>
  <si>
    <t>Tech Fee</t>
  </si>
  <si>
    <t>Platform Cost</t>
  </si>
  <si>
    <t>Moderate</t>
  </si>
  <si>
    <t>Ambitious</t>
  </si>
  <si>
    <t>Student Enrollment</t>
  </si>
  <si>
    <t xml:space="preserve">Baseline </t>
  </si>
  <si>
    <t>Year 1</t>
  </si>
  <si>
    <t>Year 2</t>
  </si>
  <si>
    <t>Year 3</t>
  </si>
  <si>
    <t>Year 4</t>
  </si>
  <si>
    <t>Year 5</t>
  </si>
  <si>
    <t>Modest Success</t>
  </si>
  <si>
    <t>Strong Success</t>
  </si>
  <si>
    <t>Flagship Success</t>
  </si>
  <si>
    <t>3 % Modest/low Fee $48</t>
  </si>
  <si>
    <t>7% Strong/Low Fee $48</t>
  </si>
  <si>
    <t>12% Flagship/Low Fee $48</t>
  </si>
  <si>
    <t>Baseline (No Impact) Low Fee $48</t>
  </si>
  <si>
    <t>Gross Profit Per Student</t>
  </si>
  <si>
    <r>
      <t>Gross Profit (</t>
    </r>
    <r>
      <rPr>
        <b/>
        <sz val="11"/>
        <color theme="1"/>
        <rFont val="Aptos Narrow"/>
        <family val="2"/>
        <charset val="1"/>
      </rPr>
      <t>Δ</t>
    </r>
    <r>
      <rPr>
        <b/>
        <sz val="11"/>
        <color theme="1"/>
        <rFont val="Aptos Narrow"/>
        <family val="2"/>
      </rPr>
      <t xml:space="preserve"> in student enrollment)</t>
    </r>
  </si>
  <si>
    <r>
      <t>Gross Profit (</t>
    </r>
    <r>
      <rPr>
        <b/>
        <sz val="11"/>
        <color theme="1"/>
        <rFont val="Aptos Narrow"/>
        <family val="2"/>
        <charset val="1"/>
      </rPr>
      <t>Δ</t>
    </r>
    <r>
      <rPr>
        <b/>
        <sz val="11"/>
        <color theme="1"/>
        <rFont val="Aptos Narrow"/>
        <family val="2"/>
      </rPr>
      <t xml:space="preserve"> in Tech Fee)</t>
    </r>
  </si>
  <si>
    <t>Baseline Enrollment (low Fee) $48</t>
  </si>
  <si>
    <t>Baseline Enrollment (moderate Fee) $60</t>
  </si>
  <si>
    <t>Baseline Enrollment (Ambitious Fee) $96</t>
  </si>
  <si>
    <t>Low</t>
  </si>
  <si>
    <t>Gross Profit</t>
  </si>
  <si>
    <t>University Revenue and Gross Profit Assumptions</t>
  </si>
  <si>
    <t>Enrollment CAGR</t>
  </si>
  <si>
    <t xml:space="preserve">need to revisit my variable API cost and include the enrollment CAGR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</si>
</sst>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_);[Red]\(&quot;$&quot;#,##0\)"/>
    <numFmt numFmtId="8" formatCode="&quot;$&quot;#,##0.00_);[Red]\(&quot;$&quot;#,##0.00\)"/>
    <numFmt numFmtId="41" formatCode="_(* #,##0_);_(* \(#,##0\);_(* &quot;-&quot;_);_(@_)"/>
    <numFmt numFmtId="43" formatCode="_(* #,##0.00_);_(* \(#,##0.00\);_(* &quot;-&quot;??_);_(@_)"/>
    <numFmt numFmtId="164" formatCode="&quot;$&quot;#,##0.000_);[Red]\(&quot;$&quot;#,##0.000\)"/>
    <numFmt numFmtId="165" formatCode="&quot;$&quot;#,##0.0000_);[Red]\(&quot;$&quot;#,##0.0000\)"/>
    <numFmt numFmtId="166" formatCode="&quot;$&quot;#,##0.00000_);[Red]\(&quot;$&quot;#,##0.00000\)"/>
    <numFmt numFmtId="167" formatCode="General_)"/>
    <numFmt numFmtId="168" formatCode="#,##0.000"/>
    <numFmt numFmtId="169" formatCode="&quot;$&quot;#,##0"/>
    <numFmt numFmtId="170" formatCode="&quot;$&quot;#,##0.00"/>
    <numFmt numFmtId="171" formatCode="0%;&quot;−&quot;0%"/>
    <numFmt numFmtId="172" formatCode="&quot;$&quot;#,##0;&quot;−&quot;&quot;$&quot;#,##0"/>
    <numFmt numFmtId="173" formatCode="_(* #,##0_);_(* \(#,##0\);_(* &quot;-&quot;??_);_(@_)"/>
    <numFmt numFmtId="174" formatCode="0.0%;&quot;−&quot;0.0%"/>
    <numFmt numFmtId="175" formatCode="#,##0.00;&quot;−&quot;#,##0.00"/>
    <numFmt numFmtId="176" formatCode="#,##0.00_%_)"/>
    <numFmt numFmtId="177" formatCode="&quot;$&quot;#,##0.00_)"/>
    <numFmt numFmtId="178" formatCode="&quot;$&quot;#,##0_)"/>
    <numFmt numFmtId="179" formatCode="0.0%"/>
    <numFmt numFmtId="180" formatCode="&quot;$&quot;#,##0_%_)"/>
    <numFmt numFmtId="181" formatCode="0.0%_)"/>
    <numFmt numFmtId="182" formatCode="0.000%"/>
    <numFmt numFmtId="183" formatCode="0.00%_)"/>
  </numFmts>
  <fonts count="50"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10"/>
      <name val="Aptos Narrow"/>
      <family val="2"/>
      <scheme val="minor"/>
    </font>
    <font>
      <sz val="11"/>
      <color rgb="FF0000FF"/>
      <name val="Aptos Narrow"/>
      <family val="2"/>
      <scheme val="minor"/>
    </font>
    <font>
      <b/>
      <u/>
      <sz val="11"/>
      <name val="Aptos Narrow"/>
      <family val="2"/>
      <scheme val="minor"/>
    </font>
    <font>
      <b/>
      <sz val="8"/>
      <name val="Cambria"/>
      <family val="1"/>
    </font>
    <font>
      <b/>
      <sz val="8"/>
      <color indexed="16"/>
      <name val="Cambria"/>
      <family val="1"/>
    </font>
    <font>
      <b/>
      <sz val="8"/>
      <color indexed="17"/>
      <name val="Cambria"/>
      <family val="1"/>
    </font>
    <font>
      <b/>
      <sz val="8"/>
      <color indexed="12"/>
      <name val="Cambria"/>
      <family val="1"/>
    </font>
    <font>
      <b/>
      <sz val="8"/>
      <color indexed="18"/>
      <name val="Cambria"/>
      <family val="1"/>
    </font>
    <font>
      <b/>
      <sz val="8"/>
      <color indexed="17"/>
      <name val="Arial"/>
      <family val="2"/>
    </font>
    <font>
      <b/>
      <sz val="8"/>
      <color indexed="12"/>
      <name val="Arial"/>
      <family val="2"/>
    </font>
    <font>
      <b/>
      <sz val="8"/>
      <color indexed="18"/>
      <name val="Arial"/>
      <family val="2"/>
    </font>
    <font>
      <b/>
      <sz val="10"/>
      <color indexed="81"/>
      <name val="Tahoma"/>
      <family val="2"/>
    </font>
    <font>
      <sz val="8"/>
      <name val="Cambria"/>
      <family val="1"/>
    </font>
    <font>
      <b/>
      <sz val="8"/>
      <color rgb="FFFF0000"/>
      <name val="Cambria"/>
      <family val="1"/>
    </font>
    <font>
      <b/>
      <sz val="8"/>
      <color indexed="10"/>
      <name val="Cambria"/>
      <family val="1"/>
    </font>
    <font>
      <b/>
      <sz val="8"/>
      <color rgb="FF0000CC"/>
      <name val="Cambria"/>
      <family val="1"/>
    </font>
    <font>
      <sz val="10"/>
      <color theme="1"/>
      <name val="Cambria"/>
      <family val="1"/>
    </font>
    <font>
      <b/>
      <sz val="8"/>
      <color indexed="58"/>
      <name val="Cambria"/>
      <family val="1"/>
    </font>
    <font>
      <b/>
      <u/>
      <sz val="8"/>
      <color indexed="10"/>
      <name val="Cambria"/>
      <family val="1"/>
    </font>
    <font>
      <b/>
      <u/>
      <sz val="8"/>
      <color indexed="10"/>
      <name val="Arial"/>
      <family val="2"/>
    </font>
    <font>
      <b/>
      <sz val="10"/>
      <color rgb="FF800000"/>
      <name val="Cambria"/>
      <family val="1"/>
    </font>
    <font>
      <b/>
      <sz val="8"/>
      <color rgb="FF800000"/>
      <name val="Cambria"/>
      <family val="1"/>
    </font>
    <font>
      <b/>
      <sz val="8"/>
      <name val="Arial"/>
      <family val="2"/>
    </font>
    <font>
      <b/>
      <sz val="10"/>
      <name val="Cambria"/>
      <family val="1"/>
    </font>
    <font>
      <b/>
      <sz val="9"/>
      <name val="Cambria"/>
      <family val="1"/>
    </font>
    <font>
      <b/>
      <sz val="9"/>
      <name val="Arial"/>
      <family val="2"/>
    </font>
    <font>
      <b/>
      <sz val="8"/>
      <color rgb="FF000099"/>
      <name val="Cambria"/>
      <family val="1"/>
    </font>
    <font>
      <sz val="9"/>
      <color indexed="81"/>
      <name val="Tahoma"/>
      <family val="2"/>
    </font>
    <font>
      <b/>
      <sz val="8"/>
      <color theme="2" tint="-0.89999084444715716"/>
      <name val="Cambria"/>
      <family val="1"/>
    </font>
    <font>
      <b/>
      <sz val="8"/>
      <color rgb="FFFF0000"/>
      <name val="Arial"/>
      <family val="2"/>
    </font>
    <font>
      <b/>
      <sz val="8"/>
      <color theme="1"/>
      <name val="Cambria"/>
      <family val="1"/>
    </font>
    <font>
      <b/>
      <sz val="8"/>
      <color theme="1"/>
      <name val="Arial"/>
      <family val="2"/>
    </font>
    <font>
      <sz val="10"/>
      <name val="Cambria"/>
      <family val="1"/>
    </font>
    <font>
      <sz val="8"/>
      <color theme="2" tint="-0.89999084444715716"/>
      <name val="Cambria"/>
      <family val="1"/>
    </font>
    <font>
      <b/>
      <sz val="8"/>
      <color theme="2" tint="-0.89999084444715716"/>
      <name val="Arial"/>
      <family val="2"/>
    </font>
    <font>
      <b/>
      <vertAlign val="subscript"/>
      <sz val="8"/>
      <name val="Cambria"/>
      <family val="1"/>
    </font>
    <font>
      <sz val="8"/>
      <color rgb="FF0000CC"/>
      <name val="Cambria"/>
      <family val="1"/>
    </font>
    <font>
      <b/>
      <sz val="8"/>
      <color rgb="FF0000CC"/>
      <name val="Arial"/>
      <family val="2"/>
    </font>
    <font>
      <b/>
      <sz val="8"/>
      <color theme="8" tint="-0.499984740745262"/>
      <name val="Cambria"/>
      <family val="1"/>
    </font>
    <font>
      <sz val="8"/>
      <color theme="8" tint="-0.499984740745262"/>
      <name val="Cambria"/>
      <family val="1"/>
    </font>
    <font>
      <b/>
      <sz val="8"/>
      <color theme="8" tint="-0.499984740745262"/>
      <name val="Arial"/>
      <family val="2"/>
    </font>
    <font>
      <b/>
      <sz val="8"/>
      <color rgb="FFFF0000"/>
      <name val="Aptos Narrow"/>
      <family val="2"/>
      <scheme val="minor"/>
    </font>
    <font>
      <b/>
      <sz val="8"/>
      <color rgb="FF3A06F8"/>
      <name val="Cambria"/>
      <family val="1"/>
    </font>
    <font>
      <b/>
      <sz val="11"/>
      <color theme="1"/>
      <name val="Aptos Narrow"/>
      <family val="2"/>
      <charset val="1"/>
    </font>
    <font>
      <b/>
      <sz val="11"/>
      <color theme="1"/>
      <name val="Aptos Narrow"/>
      <family val="2"/>
    </font>
  </fonts>
  <fills count="21">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rgb="FF99FF99"/>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CC99"/>
        <bgColor indexed="64"/>
      </patternFill>
    </fill>
    <fill>
      <patternFill patternType="solid">
        <fgColor indexed="13"/>
        <bgColor indexed="64"/>
      </patternFill>
    </fill>
    <fill>
      <patternFill patternType="solid">
        <fgColor rgb="FFFFFFCC"/>
        <bgColor indexed="64"/>
      </patternFill>
    </fill>
    <fill>
      <patternFill patternType="solid">
        <fgColor theme="6" tint="0.79998168889431442"/>
        <bgColor indexed="64"/>
      </patternFill>
    </fill>
    <fill>
      <patternFill patternType="solid">
        <fgColor rgb="FFFFCCFF"/>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CCFFCC"/>
        <bgColor indexed="64"/>
      </patternFill>
    </fill>
    <fill>
      <patternFill patternType="solid">
        <fgColor theme="8" tint="0.79998168889431442"/>
        <bgColor indexed="65"/>
      </patternFill>
    </fill>
  </fills>
  <borders count="36">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21" fillId="12" borderId="14" applyNumberFormat="0" applyFont="0" applyBorder="0" applyAlignment="0"/>
    <xf numFmtId="0" fontId="25" fillId="0" borderId="0" applyNumberFormat="0" applyFill="0" applyBorder="0">
      <alignment horizontal="left" vertical="center"/>
    </xf>
    <xf numFmtId="0" fontId="28" fillId="14" borderId="0" applyNumberFormat="0" applyFont="0" applyBorder="0" applyAlignment="0"/>
    <xf numFmtId="0" fontId="37" fillId="0" borderId="0" applyNumberFormat="0" applyFont="0" applyBorder="0" applyAlignment="0" applyProtection="0"/>
    <xf numFmtId="0" fontId="1" fillId="20" borderId="0" applyNumberFormat="0" applyBorder="0" applyAlignment="0" applyProtection="0"/>
  </cellStyleXfs>
  <cellXfs count="484">
    <xf numFmtId="0" fontId="0" fillId="0" borderId="0" xfId="0"/>
    <xf numFmtId="0" fontId="2" fillId="2" borderId="0" xfId="0" applyFont="1" applyFill="1"/>
    <xf numFmtId="8"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center"/>
    </xf>
    <xf numFmtId="6" fontId="0" fillId="0" borderId="0" xfId="0" applyNumberFormat="1"/>
    <xf numFmtId="0" fontId="2" fillId="0" borderId="0" xfId="0" applyFont="1"/>
    <xf numFmtId="165" fontId="2" fillId="0" borderId="0" xfId="0" applyNumberFormat="1" applyFont="1"/>
    <xf numFmtId="8" fontId="2" fillId="0" borderId="0" xfId="0" applyNumberFormat="1" applyFont="1"/>
    <xf numFmtId="6" fontId="2" fillId="0" borderId="0" xfId="0" applyNumberFormat="1" applyFont="1"/>
    <xf numFmtId="0" fontId="3" fillId="0" borderId="0" xfId="0" applyFont="1"/>
    <xf numFmtId="0" fontId="4" fillId="0" borderId="0" xfId="0" applyFont="1"/>
    <xf numFmtId="0" fontId="5" fillId="0" borderId="0" xfId="0" applyFont="1"/>
    <xf numFmtId="37" fontId="2" fillId="0" borderId="1" xfId="0" applyNumberFormat="1" applyFont="1" applyBorder="1"/>
    <xf numFmtId="37" fontId="4" fillId="0" borderId="1" xfId="0" applyNumberFormat="1" applyFont="1" applyBorder="1"/>
    <xf numFmtId="37" fontId="4" fillId="0" borderId="2" xfId="0" applyNumberFormat="1" applyFont="1" applyBorder="1"/>
    <xf numFmtId="4" fontId="6" fillId="0" borderId="0" xfId="0" applyNumberFormat="1" applyFont="1"/>
    <xf numFmtId="37" fontId="4" fillId="0" borderId="0" xfId="0" applyNumberFormat="1" applyFont="1"/>
    <xf numFmtId="0" fontId="6" fillId="0" borderId="0" xfId="0" applyFont="1"/>
    <xf numFmtId="10" fontId="6" fillId="0" borderId="0" xfId="0" applyNumberFormat="1" applyFont="1"/>
    <xf numFmtId="167" fontId="4" fillId="0" borderId="0" xfId="3" applyNumberFormat="1" applyFont="1" applyAlignment="1">
      <alignment horizontal="left" vertical="top"/>
    </xf>
    <xf numFmtId="9" fontId="6" fillId="0" borderId="0" xfId="0" applyNumberFormat="1" applyFont="1"/>
    <xf numFmtId="167" fontId="4" fillId="0" borderId="0" xfId="3" applyNumberFormat="1" applyFont="1" applyAlignment="1">
      <alignment horizontal="left" vertical="center"/>
    </xf>
    <xf numFmtId="9" fontId="4" fillId="0" borderId="0" xfId="0" applyNumberFormat="1" applyFont="1"/>
    <xf numFmtId="0" fontId="3" fillId="0" borderId="0" xfId="0" applyFont="1" applyAlignment="1">
      <alignment horizontal="right"/>
    </xf>
    <xf numFmtId="0" fontId="3" fillId="0" borderId="1" xfId="0" applyFont="1" applyBorder="1"/>
    <xf numFmtId="37" fontId="3" fillId="0" borderId="1" xfId="0" applyNumberFormat="1" applyFont="1" applyBorder="1" applyAlignment="1">
      <alignment horizontal="right"/>
    </xf>
    <xf numFmtId="3" fontId="4" fillId="0" borderId="0" xfId="0" applyNumberFormat="1" applyFont="1" applyAlignment="1">
      <alignment horizontal="right" vertical="top"/>
    </xf>
    <xf numFmtId="4" fontId="4" fillId="0" borderId="0" xfId="0" applyNumberFormat="1" applyFont="1" applyAlignment="1">
      <alignment horizontal="right" vertical="top"/>
    </xf>
    <xf numFmtId="37" fontId="7" fillId="0" borderId="0" xfId="0" applyNumberFormat="1" applyFont="1" applyAlignment="1">
      <alignment horizontal="left"/>
    </xf>
    <xf numFmtId="0" fontId="7" fillId="0" borderId="0" xfId="0" applyFont="1"/>
    <xf numFmtId="41" fontId="4" fillId="0" borderId="0" xfId="0" applyNumberFormat="1" applyFont="1" applyAlignment="1">
      <alignment horizontal="right" vertical="top"/>
    </xf>
    <xf numFmtId="168" fontId="4" fillId="0" borderId="0" xfId="0" applyNumberFormat="1" applyFont="1" applyAlignment="1">
      <alignment horizontal="right" vertical="top"/>
    </xf>
    <xf numFmtId="4" fontId="3" fillId="3" borderId="3" xfId="0" applyNumberFormat="1" applyFont="1" applyFill="1" applyBorder="1" applyAlignment="1">
      <alignment horizontal="right" vertical="top"/>
    </xf>
    <xf numFmtId="8" fontId="6" fillId="0" borderId="0" xfId="0" applyNumberFormat="1" applyFont="1"/>
    <xf numFmtId="10" fontId="3" fillId="3" borderId="3" xfId="0" applyNumberFormat="1" applyFont="1" applyFill="1" applyBorder="1" applyAlignment="1">
      <alignment horizontal="right" vertical="top"/>
    </xf>
    <xf numFmtId="0" fontId="8" fillId="4" borderId="4" xfId="0" applyFont="1" applyFill="1" applyBorder="1" applyAlignment="1">
      <alignment horizontal="center"/>
    </xf>
    <xf numFmtId="169" fontId="9" fillId="5" borderId="4" xfId="0" applyNumberFormat="1" applyFont="1" applyFill="1" applyBorder="1"/>
    <xf numFmtId="169" fontId="9" fillId="5" borderId="5" xfId="0" applyNumberFormat="1" applyFont="1" applyFill="1" applyBorder="1"/>
    <xf numFmtId="8" fontId="10" fillId="6" borderId="4" xfId="0" applyNumberFormat="1" applyFont="1" applyFill="1" applyBorder="1"/>
    <xf numFmtId="170" fontId="10" fillId="6" borderId="5" xfId="0" applyNumberFormat="1" applyFont="1" applyFill="1" applyBorder="1" applyAlignment="1">
      <alignment horizontal="center"/>
    </xf>
    <xf numFmtId="8" fontId="11" fillId="7" borderId="4" xfId="0" applyNumberFormat="1" applyFont="1" applyFill="1" applyBorder="1" applyAlignment="1">
      <alignment wrapText="1"/>
    </xf>
    <xf numFmtId="170" fontId="11" fillId="7" borderId="5" xfId="0" applyNumberFormat="1" applyFont="1" applyFill="1" applyBorder="1" applyAlignment="1">
      <alignment horizontal="center"/>
    </xf>
    <xf numFmtId="8" fontId="12" fillId="8" borderId="4" xfId="0" applyNumberFormat="1" applyFont="1" applyFill="1" applyBorder="1"/>
    <xf numFmtId="0" fontId="12" fillId="8" borderId="5" xfId="0" applyFont="1" applyFill="1" applyBorder="1" applyAlignment="1">
      <alignment horizontal="center"/>
    </xf>
    <xf numFmtId="0" fontId="8" fillId="4" borderId="6" xfId="0" applyFont="1" applyFill="1" applyBorder="1" applyAlignment="1">
      <alignment horizontal="center"/>
    </xf>
    <xf numFmtId="169" fontId="9" fillId="5" borderId="6" xfId="0" applyNumberFormat="1" applyFont="1" applyFill="1" applyBorder="1"/>
    <xf numFmtId="169" fontId="9" fillId="5" borderId="7" xfId="0" applyNumberFormat="1" applyFont="1" applyFill="1" applyBorder="1"/>
    <xf numFmtId="8" fontId="10" fillId="6" borderId="6" xfId="0" applyNumberFormat="1" applyFont="1" applyFill="1" applyBorder="1"/>
    <xf numFmtId="170" fontId="10" fillId="6" borderId="7" xfId="0" applyNumberFormat="1" applyFont="1" applyFill="1" applyBorder="1" applyAlignment="1">
      <alignment horizontal="center"/>
    </xf>
    <xf numFmtId="8" fontId="11" fillId="7" borderId="6" xfId="0" applyNumberFormat="1" applyFont="1" applyFill="1" applyBorder="1" applyAlignment="1">
      <alignment wrapText="1"/>
    </xf>
    <xf numFmtId="170" fontId="11" fillId="7" borderId="7" xfId="0" applyNumberFormat="1" applyFont="1" applyFill="1" applyBorder="1" applyAlignment="1">
      <alignment horizontal="center"/>
    </xf>
    <xf numFmtId="8" fontId="12" fillId="8" borderId="6" xfId="0" applyNumberFormat="1" applyFont="1" applyFill="1" applyBorder="1"/>
    <xf numFmtId="0" fontId="12" fillId="8" borderId="7" xfId="0" applyFont="1" applyFill="1" applyBorder="1" applyAlignment="1">
      <alignment horizontal="center"/>
    </xf>
    <xf numFmtId="0" fontId="8" fillId="4" borderId="8" xfId="0" applyFont="1" applyFill="1" applyBorder="1" applyAlignment="1">
      <alignment horizontal="center"/>
    </xf>
    <xf numFmtId="169" fontId="9" fillId="5" borderId="8" xfId="0" applyNumberFormat="1" applyFont="1" applyFill="1" applyBorder="1" applyAlignment="1">
      <alignment horizontal="right" indent="2"/>
    </xf>
    <xf numFmtId="169" fontId="9" fillId="5" borderId="9" xfId="0" applyNumberFormat="1" applyFont="1" applyFill="1" applyBorder="1" applyAlignment="1">
      <alignment horizontal="right" indent="2"/>
    </xf>
    <xf numFmtId="3" fontId="10" fillId="6" borderId="8" xfId="2" applyNumberFormat="1" applyFont="1" applyFill="1" applyBorder="1" applyAlignment="1">
      <alignment horizontal="center"/>
    </xf>
    <xf numFmtId="169" fontId="10" fillId="6" borderId="9" xfId="0" applyNumberFormat="1" applyFont="1" applyFill="1" applyBorder="1" applyAlignment="1">
      <alignment horizontal="center"/>
    </xf>
    <xf numFmtId="170" fontId="11" fillId="7" borderId="8" xfId="0" applyNumberFormat="1" applyFont="1" applyFill="1" applyBorder="1" applyAlignment="1">
      <alignment horizontal="center"/>
    </xf>
    <xf numFmtId="169" fontId="11" fillId="7" borderId="9" xfId="0" applyNumberFormat="1" applyFont="1" applyFill="1" applyBorder="1" applyAlignment="1">
      <alignment horizontal="center"/>
    </xf>
    <xf numFmtId="170" fontId="12" fillId="8" borderId="8" xfId="2" applyNumberFormat="1" applyFont="1" applyFill="1" applyBorder="1" applyAlignment="1">
      <alignment horizontal="center"/>
    </xf>
    <xf numFmtId="169" fontId="12" fillId="8" borderId="9" xfId="0" applyNumberFormat="1" applyFont="1" applyFill="1" applyBorder="1" applyAlignment="1">
      <alignment horizontal="center"/>
    </xf>
    <xf numFmtId="9" fontId="11" fillId="4" borderId="10" xfId="2" applyFont="1" applyFill="1" applyBorder="1" applyAlignment="1">
      <alignment horizontal="center"/>
    </xf>
    <xf numFmtId="169" fontId="9" fillId="5" borderId="4" xfId="0" applyNumberFormat="1" applyFont="1" applyFill="1" applyBorder="1" applyAlignment="1">
      <alignment horizontal="right" indent="2"/>
    </xf>
    <xf numFmtId="169" fontId="9" fillId="5" borderId="5" xfId="0" applyNumberFormat="1" applyFont="1" applyFill="1" applyBorder="1" applyAlignment="1">
      <alignment horizontal="right" indent="2"/>
    </xf>
    <xf numFmtId="3" fontId="10" fillId="6" borderId="4" xfId="2" applyNumberFormat="1" applyFont="1" applyFill="1" applyBorder="1" applyAlignment="1">
      <alignment horizontal="center"/>
    </xf>
    <xf numFmtId="169" fontId="13" fillId="6" borderId="5" xfId="0" applyNumberFormat="1" applyFont="1" applyFill="1" applyBorder="1" applyAlignment="1">
      <alignment horizontal="center"/>
    </xf>
    <xf numFmtId="4" fontId="11" fillId="7" borderId="4" xfId="0" applyNumberFormat="1" applyFont="1" applyFill="1" applyBorder="1" applyAlignment="1">
      <alignment horizontal="center"/>
    </xf>
    <xf numFmtId="169" fontId="14" fillId="7" borderId="5" xfId="0" applyNumberFormat="1" applyFont="1" applyFill="1" applyBorder="1" applyAlignment="1">
      <alignment horizontal="center"/>
    </xf>
    <xf numFmtId="170" fontId="12" fillId="8" borderId="4" xfId="2" applyNumberFormat="1" applyFont="1" applyFill="1" applyBorder="1" applyAlignment="1">
      <alignment horizontal="center"/>
    </xf>
    <xf numFmtId="169" fontId="15" fillId="8" borderId="5" xfId="0" applyNumberFormat="1" applyFont="1" applyFill="1" applyBorder="1" applyAlignment="1">
      <alignment horizontal="center"/>
    </xf>
    <xf numFmtId="9" fontId="11" fillId="4" borderId="11" xfId="2" applyFont="1" applyFill="1" applyBorder="1" applyAlignment="1">
      <alignment horizontal="center"/>
    </xf>
    <xf numFmtId="9" fontId="11" fillId="4" borderId="12" xfId="2" applyFont="1" applyFill="1" applyBorder="1" applyAlignment="1">
      <alignment horizontal="center"/>
    </xf>
    <xf numFmtId="0" fontId="8" fillId="0" borderId="0" xfId="0" applyFont="1" applyAlignment="1">
      <alignment horizontal="right"/>
    </xf>
    <xf numFmtId="169" fontId="8" fillId="0" borderId="0" xfId="0" applyNumberFormat="1" applyFont="1" applyAlignment="1">
      <alignment horizontal="right" indent="2"/>
    </xf>
    <xf numFmtId="0" fontId="17" fillId="0" borderId="10" xfId="0" applyFont="1" applyBorder="1"/>
    <xf numFmtId="0" fontId="12" fillId="0" borderId="10" xfId="0" applyFont="1" applyBorder="1" applyAlignment="1">
      <alignment horizontal="center"/>
    </xf>
    <xf numFmtId="0" fontId="12" fillId="0" borderId="11" xfId="0" applyFont="1" applyBorder="1"/>
    <xf numFmtId="0" fontId="12" fillId="0" borderId="12" xfId="0" applyFont="1" applyBorder="1" applyAlignment="1">
      <alignment horizontal="center"/>
    </xf>
    <xf numFmtId="0" fontId="12" fillId="0" borderId="12" xfId="0" applyFont="1" applyBorder="1"/>
    <xf numFmtId="170" fontId="18" fillId="9" borderId="12" xfId="0" applyNumberFormat="1" applyFont="1" applyFill="1" applyBorder="1" applyAlignment="1">
      <alignment horizontal="right" indent="2"/>
    </xf>
    <xf numFmtId="169" fontId="19" fillId="3" borderId="12" xfId="0" applyNumberFormat="1" applyFont="1" applyFill="1" applyBorder="1"/>
    <xf numFmtId="9" fontId="12" fillId="10" borderId="13" xfId="2" applyFont="1" applyFill="1" applyBorder="1" applyAlignment="1">
      <alignment horizontal="center"/>
    </xf>
    <xf numFmtId="170" fontId="20" fillId="11" borderId="4" xfId="2" applyNumberFormat="1" applyFont="1" applyFill="1" applyBorder="1" applyAlignment="1">
      <alignment horizontal="right" indent="2"/>
    </xf>
    <xf numFmtId="169" fontId="22" fillId="12" borderId="5" xfId="4" applyNumberFormat="1" applyFont="1" applyBorder="1"/>
    <xf numFmtId="169" fontId="22" fillId="12" borderId="7" xfId="4" applyNumberFormat="1" applyFont="1" applyBorder="1"/>
    <xf numFmtId="9" fontId="12" fillId="10" borderId="15" xfId="2" applyFont="1" applyFill="1" applyBorder="1" applyAlignment="1">
      <alignment horizontal="center"/>
    </xf>
    <xf numFmtId="169" fontId="22" fillId="12" borderId="9" xfId="4" applyNumberFormat="1" applyFont="1" applyBorder="1"/>
    <xf numFmtId="170" fontId="6" fillId="0" borderId="0" xfId="0" applyNumberFormat="1" applyFont="1"/>
    <xf numFmtId="165" fontId="6" fillId="0" borderId="0" xfId="0" applyNumberFormat="1" applyFont="1"/>
    <xf numFmtId="0" fontId="26" fillId="14" borderId="4" xfId="5" applyFont="1" applyFill="1" applyBorder="1">
      <alignment horizontal="left" vertical="center"/>
    </xf>
    <xf numFmtId="0" fontId="27" fillId="14" borderId="2" xfId="0" applyFont="1" applyFill="1" applyBorder="1"/>
    <xf numFmtId="0" fontId="27" fillId="14" borderId="5" xfId="0" applyFont="1" applyFill="1" applyBorder="1"/>
    <xf numFmtId="0" fontId="26" fillId="14" borderId="8" xfId="5" applyFont="1" applyFill="1" applyBorder="1">
      <alignment horizontal="left" vertical="center"/>
    </xf>
    <xf numFmtId="0" fontId="27" fillId="14" borderId="1" xfId="0" applyFont="1" applyFill="1" applyBorder="1"/>
    <xf numFmtId="0" fontId="27" fillId="14" borderId="9" xfId="0" applyFont="1" applyFill="1" applyBorder="1"/>
    <xf numFmtId="0" fontId="17" fillId="14" borderId="4" xfId="0" applyFont="1" applyFill="1" applyBorder="1"/>
    <xf numFmtId="0" fontId="17" fillId="14" borderId="2" xfId="0" applyFont="1" applyFill="1" applyBorder="1"/>
    <xf numFmtId="0" fontId="17" fillId="14" borderId="5" xfId="0" applyFont="1" applyFill="1" applyBorder="1"/>
    <xf numFmtId="0" fontId="17" fillId="14" borderId="6" xfId="0" applyFont="1" applyFill="1" applyBorder="1"/>
    <xf numFmtId="0" fontId="17" fillId="14" borderId="0" xfId="0" applyFont="1" applyFill="1"/>
    <xf numFmtId="0" fontId="17" fillId="14" borderId="7" xfId="0" applyFont="1" applyFill="1" applyBorder="1"/>
    <xf numFmtId="0" fontId="17" fillId="14" borderId="6" xfId="6" applyFont="1" applyBorder="1"/>
    <xf numFmtId="0" fontId="17" fillId="14" borderId="0" xfId="6" applyFont="1" applyBorder="1"/>
    <xf numFmtId="0" fontId="17" fillId="14" borderId="7" xfId="6" applyFont="1" applyBorder="1"/>
    <xf numFmtId="0" fontId="17" fillId="14" borderId="8" xfId="6" applyFont="1" applyBorder="1"/>
    <xf numFmtId="0" fontId="17" fillId="14" borderId="1" xfId="6" applyFont="1" applyBorder="1"/>
    <xf numFmtId="0" fontId="17" fillId="14" borderId="9" xfId="6" applyFont="1" applyBorder="1"/>
    <xf numFmtId="0" fontId="17" fillId="14" borderId="4" xfId="6" applyFont="1" applyBorder="1"/>
    <xf numFmtId="0" fontId="30" fillId="14" borderId="5" xfId="0" applyFont="1" applyFill="1" applyBorder="1"/>
    <xf numFmtId="0" fontId="8" fillId="14" borderId="10" xfId="0" applyFont="1" applyFill="1" applyBorder="1" applyAlignment="1">
      <alignment horizontal="center"/>
    </xf>
    <xf numFmtId="0" fontId="27" fillId="14" borderId="7" xfId="0" applyFont="1" applyFill="1" applyBorder="1"/>
    <xf numFmtId="0" fontId="8" fillId="14" borderId="12" xfId="0" applyFont="1" applyFill="1" applyBorder="1" applyAlignment="1">
      <alignment horizontal="center"/>
    </xf>
    <xf numFmtId="0" fontId="31" fillId="14" borderId="3" xfId="0" applyFont="1" applyFill="1" applyBorder="1" applyAlignment="1">
      <alignment horizontal="center"/>
    </xf>
    <xf numFmtId="0" fontId="11" fillId="14" borderId="3" xfId="0" applyFont="1" applyFill="1" applyBorder="1" applyAlignment="1">
      <alignment horizontal="center"/>
    </xf>
    <xf numFmtId="0" fontId="10" fillId="14" borderId="3" xfId="0" applyFont="1" applyFill="1" applyBorder="1" applyAlignment="1">
      <alignment horizontal="center"/>
    </xf>
    <xf numFmtId="0" fontId="18" fillId="14" borderId="3" xfId="0" applyFont="1" applyFill="1" applyBorder="1" applyAlignment="1">
      <alignment horizontal="center"/>
    </xf>
    <xf numFmtId="0" fontId="26" fillId="14" borderId="7" xfId="0" applyFont="1" applyFill="1" applyBorder="1" applyAlignment="1">
      <alignment horizontal="center"/>
    </xf>
    <xf numFmtId="171" fontId="8" fillId="14" borderId="3" xfId="2" applyNumberFormat="1" applyFont="1" applyFill="1" applyBorder="1" applyAlignment="1">
      <alignment horizontal="center"/>
    </xf>
    <xf numFmtId="172" fontId="31" fillId="14" borderId="3" xfId="0" applyNumberFormat="1" applyFont="1" applyFill="1" applyBorder="1" applyAlignment="1">
      <alignment horizontal="right" indent="2"/>
    </xf>
    <xf numFmtId="172" fontId="11" fillId="14" borderId="3" xfId="0" applyNumberFormat="1" applyFont="1" applyFill="1" applyBorder="1" applyAlignment="1">
      <alignment horizontal="right" indent="2"/>
    </xf>
    <xf numFmtId="172" fontId="10" fillId="14" borderId="3" xfId="0" applyNumberFormat="1" applyFont="1" applyFill="1" applyBorder="1" applyAlignment="1">
      <alignment horizontal="right" indent="2"/>
    </xf>
    <xf numFmtId="172" fontId="18" fillId="14" borderId="3" xfId="0" applyNumberFormat="1" applyFont="1" applyFill="1" applyBorder="1" applyAlignment="1">
      <alignment horizontal="right" indent="2"/>
    </xf>
    <xf numFmtId="172" fontId="26" fillId="14" borderId="7" xfId="0" applyNumberFormat="1" applyFont="1" applyFill="1" applyBorder="1" applyAlignment="1">
      <alignment horizontal="right" indent="1"/>
    </xf>
    <xf numFmtId="0" fontId="8" fillId="14" borderId="3" xfId="0" applyFont="1" applyFill="1" applyBorder="1" applyAlignment="1">
      <alignment horizontal="center"/>
    </xf>
    <xf numFmtId="172" fontId="26" fillId="14" borderId="9" xfId="0" applyNumberFormat="1" applyFont="1" applyFill="1" applyBorder="1" applyAlignment="1">
      <alignment horizontal="right" indent="1"/>
    </xf>
    <xf numFmtId="0" fontId="26" fillId="14" borderId="2" xfId="5" applyFont="1" applyFill="1" applyBorder="1">
      <alignment horizontal="left" vertical="center"/>
    </xf>
    <xf numFmtId="0" fontId="26" fillId="14" borderId="5" xfId="5" applyFont="1" applyFill="1" applyBorder="1">
      <alignment horizontal="left" vertical="center"/>
    </xf>
    <xf numFmtId="0" fontId="17" fillId="14" borderId="8" xfId="0" applyFont="1" applyFill="1" applyBorder="1"/>
    <xf numFmtId="0" fontId="17" fillId="14" borderId="1" xfId="0" applyFont="1" applyFill="1" applyBorder="1"/>
    <xf numFmtId="0" fontId="17" fillId="14" borderId="9" xfId="0" applyFont="1" applyFill="1" applyBorder="1"/>
    <xf numFmtId="0" fontId="17" fillId="0" borderId="0" xfId="0" applyFont="1" applyAlignment="1">
      <alignment horizontal="left"/>
    </xf>
    <xf numFmtId="0" fontId="31" fillId="15" borderId="3" xfId="0" applyFont="1" applyFill="1" applyBorder="1" applyAlignment="1">
      <alignment horizontal="center"/>
    </xf>
    <xf numFmtId="0" fontId="11" fillId="15" borderId="3" xfId="0" applyFont="1" applyFill="1" applyBorder="1" applyAlignment="1">
      <alignment horizontal="center"/>
    </xf>
    <xf numFmtId="0" fontId="10" fillId="15" borderId="3" xfId="0" applyFont="1" applyFill="1" applyBorder="1" applyAlignment="1">
      <alignment horizontal="center"/>
    </xf>
    <xf numFmtId="0" fontId="18" fillId="15" borderId="3" xfId="0" applyFont="1" applyFill="1" applyBorder="1" applyAlignment="1">
      <alignment horizontal="center"/>
    </xf>
    <xf numFmtId="172" fontId="31" fillId="15" borderId="3" xfId="0" applyNumberFormat="1" applyFont="1" applyFill="1" applyBorder="1" applyAlignment="1">
      <alignment horizontal="right" indent="1"/>
    </xf>
    <xf numFmtId="172" fontId="11" fillId="15" borderId="3" xfId="0" applyNumberFormat="1" applyFont="1" applyFill="1" applyBorder="1" applyAlignment="1">
      <alignment horizontal="right" indent="1"/>
    </xf>
    <xf numFmtId="172" fontId="10" fillId="15" borderId="3" xfId="0" applyNumberFormat="1" applyFont="1" applyFill="1" applyBorder="1" applyAlignment="1">
      <alignment horizontal="right" indent="1"/>
    </xf>
    <xf numFmtId="172" fontId="18" fillId="15" borderId="3" xfId="0" applyNumberFormat="1" applyFont="1" applyFill="1" applyBorder="1" applyAlignment="1">
      <alignment horizontal="right" indent="1"/>
    </xf>
    <xf numFmtId="0" fontId="8" fillId="16" borderId="22" xfId="0" applyFont="1" applyFill="1" applyBorder="1" applyAlignment="1">
      <alignment horizontal="center"/>
    </xf>
    <xf numFmtId="0" fontId="8" fillId="16" borderId="23" xfId="0" applyFont="1" applyFill="1" applyBorder="1" applyAlignment="1">
      <alignment horizontal="center"/>
    </xf>
    <xf numFmtId="0" fontId="31" fillId="16" borderId="3" xfId="0" applyFont="1" applyFill="1" applyBorder="1" applyAlignment="1">
      <alignment horizontal="center"/>
    </xf>
    <xf numFmtId="0" fontId="11" fillId="16" borderId="3" xfId="0" applyFont="1" applyFill="1" applyBorder="1" applyAlignment="1">
      <alignment horizontal="center"/>
    </xf>
    <xf numFmtId="0" fontId="10" fillId="16" borderId="20" xfId="0" applyFont="1" applyFill="1" applyBorder="1" applyAlignment="1">
      <alignment horizontal="center"/>
    </xf>
    <xf numFmtId="0" fontId="18" fillId="16" borderId="3" xfId="0" applyFont="1" applyFill="1" applyBorder="1" applyAlignment="1">
      <alignment horizontal="center"/>
    </xf>
    <xf numFmtId="172" fontId="31" fillId="16" borderId="3" xfId="0" applyNumberFormat="1" applyFont="1" applyFill="1" applyBorder="1" applyAlignment="1">
      <alignment horizontal="center"/>
    </xf>
    <xf numFmtId="9" fontId="22" fillId="16" borderId="24" xfId="2" applyFont="1" applyFill="1" applyBorder="1" applyAlignment="1">
      <alignment horizontal="center"/>
    </xf>
    <xf numFmtId="3" fontId="31" fillId="16" borderId="3" xfId="0" applyNumberFormat="1" applyFont="1" applyFill="1" applyBorder="1" applyAlignment="1">
      <alignment horizontal="right" indent="2"/>
    </xf>
    <xf numFmtId="3" fontId="31" fillId="7" borderId="3" xfId="0" applyNumberFormat="1" applyFont="1" applyFill="1" applyBorder="1" applyAlignment="1">
      <alignment horizontal="right" indent="2"/>
    </xf>
    <xf numFmtId="3" fontId="11" fillId="7" borderId="3" xfId="0" applyNumberFormat="1" applyFont="1" applyFill="1" applyBorder="1" applyAlignment="1">
      <alignment horizontal="right" indent="2"/>
    </xf>
    <xf numFmtId="3" fontId="10" fillId="7" borderId="20" xfId="0" applyNumberFormat="1" applyFont="1" applyFill="1" applyBorder="1" applyAlignment="1">
      <alignment horizontal="right" indent="2"/>
    </xf>
    <xf numFmtId="3" fontId="18" fillId="7" borderId="3" xfId="0" applyNumberFormat="1" applyFont="1" applyFill="1" applyBorder="1" applyAlignment="1">
      <alignment horizontal="right" indent="2"/>
    </xf>
    <xf numFmtId="0" fontId="8" fillId="3" borderId="12" xfId="0" applyFont="1" applyFill="1" applyBorder="1" applyAlignment="1">
      <alignment horizontal="center"/>
    </xf>
    <xf numFmtId="0" fontId="8" fillId="3" borderId="9" xfId="0" applyFont="1" applyFill="1" applyBorder="1" applyAlignment="1">
      <alignment horizontal="center"/>
    </xf>
    <xf numFmtId="169" fontId="8" fillId="3" borderId="3" xfId="0" applyNumberFormat="1" applyFont="1" applyFill="1" applyBorder="1" applyAlignment="1">
      <alignment horizontal="right" indent="2"/>
    </xf>
    <xf numFmtId="3" fontId="8" fillId="3" borderId="21" xfId="0" applyNumberFormat="1" applyFont="1" applyFill="1" applyBorder="1" applyAlignment="1">
      <alignment horizontal="right" indent="2"/>
    </xf>
    <xf numFmtId="3" fontId="8" fillId="3" borderId="3" xfId="0" applyNumberFormat="1" applyFont="1" applyFill="1" applyBorder="1" applyAlignment="1">
      <alignment horizontal="right" indent="2"/>
    </xf>
    <xf numFmtId="0" fontId="26" fillId="14" borderId="4" xfId="5" applyFont="1" applyFill="1" applyBorder="1" applyAlignment="1">
      <alignment vertical="center"/>
    </xf>
    <xf numFmtId="0" fontId="26" fillId="14" borderId="2" xfId="5" applyFont="1" applyFill="1" applyBorder="1" applyAlignment="1">
      <alignment vertical="center"/>
    </xf>
    <xf numFmtId="0" fontId="26" fillId="14" borderId="5" xfId="5" applyFont="1" applyFill="1" applyBorder="1" applyAlignment="1">
      <alignment vertical="center"/>
    </xf>
    <xf numFmtId="0" fontId="26" fillId="14" borderId="1" xfId="5" applyFont="1" applyFill="1" applyBorder="1">
      <alignment horizontal="left" vertical="center"/>
    </xf>
    <xf numFmtId="0" fontId="26" fillId="14" borderId="9" xfId="5" applyFont="1" applyFill="1" applyBorder="1">
      <alignment horizontal="left" vertical="center"/>
    </xf>
    <xf numFmtId="0" fontId="8" fillId="14" borderId="8" xfId="0" applyFont="1" applyFill="1" applyBorder="1" applyAlignment="1">
      <alignment horizontal="left" vertical="center" wrapText="1"/>
    </xf>
    <xf numFmtId="0" fontId="8" fillId="14" borderId="1" xfId="0" applyFont="1" applyFill="1" applyBorder="1" applyAlignment="1">
      <alignment horizontal="left" vertical="center" wrapText="1"/>
    </xf>
    <xf numFmtId="0" fontId="33" fillId="17" borderId="4" xfId="0" applyFont="1" applyFill="1" applyBorder="1" applyAlignment="1">
      <alignment horizontal="center" vertical="center"/>
    </xf>
    <xf numFmtId="0" fontId="20" fillId="18" borderId="4" xfId="0" applyFont="1" applyFill="1" applyBorder="1" applyAlignment="1">
      <alignment horizontal="center" vertical="center" wrapText="1"/>
    </xf>
    <xf numFmtId="0" fontId="22" fillId="19" borderId="10" xfId="0" applyFont="1" applyFill="1" applyBorder="1" applyAlignment="1">
      <alignment horizontal="center" vertical="center"/>
    </xf>
    <xf numFmtId="9" fontId="33" fillId="17" borderId="8" xfId="2" applyFont="1" applyFill="1" applyBorder="1" applyAlignment="1">
      <alignment horizontal="center" vertical="center"/>
    </xf>
    <xf numFmtId="9" fontId="20" fillId="18" borderId="8" xfId="2" applyFont="1" applyFill="1" applyBorder="1" applyAlignment="1">
      <alignment horizontal="center" vertical="center"/>
    </xf>
    <xf numFmtId="9" fontId="22" fillId="19" borderId="12" xfId="2" applyFont="1" applyFill="1" applyBorder="1" applyAlignment="1">
      <alignment horizontal="center" vertical="center"/>
    </xf>
    <xf numFmtId="0" fontId="8" fillId="14" borderId="16" xfId="0" applyFont="1" applyFill="1" applyBorder="1" applyAlignment="1">
      <alignment horizontal="left" vertical="center" wrapText="1"/>
    </xf>
    <xf numFmtId="0" fontId="27" fillId="14" borderId="20" xfId="0" applyFont="1" applyFill="1" applyBorder="1" applyAlignment="1">
      <alignment horizontal="left" vertical="center" wrapText="1"/>
    </xf>
    <xf numFmtId="169" fontId="18" fillId="17" borderId="10" xfId="2" applyNumberFormat="1" applyFont="1" applyFill="1" applyBorder="1" applyAlignment="1">
      <alignment horizontal="right" indent="1"/>
    </xf>
    <xf numFmtId="169" fontId="8" fillId="17" borderId="11" xfId="0" applyNumberFormat="1" applyFont="1" applyFill="1" applyBorder="1" applyAlignment="1">
      <alignment horizontal="right" vertical="center" indent="1"/>
    </xf>
    <xf numFmtId="169" fontId="8" fillId="18" borderId="0" xfId="0" applyNumberFormat="1" applyFont="1" applyFill="1" applyAlignment="1">
      <alignment horizontal="right" vertical="center" indent="1"/>
    </xf>
    <xf numFmtId="169" fontId="8" fillId="19" borderId="11" xfId="0" applyNumberFormat="1" applyFont="1" applyFill="1" applyBorder="1" applyAlignment="1">
      <alignment horizontal="right" vertical="center" indent="1"/>
    </xf>
    <xf numFmtId="173" fontId="18" fillId="17" borderId="11" xfId="1" applyNumberFormat="1" applyFont="1" applyFill="1" applyBorder="1" applyAlignment="1">
      <alignment horizontal="right" vertical="center" indent="1"/>
    </xf>
    <xf numFmtId="173" fontId="18" fillId="18" borderId="0" xfId="1" applyNumberFormat="1" applyFont="1" applyFill="1" applyBorder="1" applyAlignment="1">
      <alignment horizontal="right" vertical="center" indent="1"/>
    </xf>
    <xf numFmtId="173" fontId="18" fillId="19" borderId="11" xfId="1" applyNumberFormat="1" applyFont="1" applyFill="1" applyBorder="1" applyAlignment="1">
      <alignment horizontal="right" vertical="center" indent="1"/>
    </xf>
    <xf numFmtId="0" fontId="35" fillId="14" borderId="6" xfId="0" applyFont="1" applyFill="1" applyBorder="1" applyAlignment="1">
      <alignment horizontal="left" vertical="center"/>
    </xf>
    <xf numFmtId="0" fontId="36" fillId="14" borderId="0" xfId="0" applyFont="1" applyFill="1" applyAlignment="1">
      <alignment horizontal="left" vertical="center"/>
    </xf>
    <xf numFmtId="0" fontId="36" fillId="14" borderId="7" xfId="0" applyFont="1" applyFill="1" applyBorder="1" applyAlignment="1">
      <alignment horizontal="left" vertical="center"/>
    </xf>
    <xf numFmtId="9" fontId="33" fillId="17" borderId="11" xfId="2" applyFont="1" applyFill="1" applyBorder="1" applyAlignment="1">
      <alignment horizontal="right" vertical="center" indent="1"/>
    </xf>
    <xf numFmtId="9" fontId="20" fillId="18" borderId="0" xfId="2" applyFont="1" applyFill="1" applyBorder="1" applyAlignment="1">
      <alignment horizontal="right" vertical="center" indent="1"/>
    </xf>
    <xf numFmtId="170" fontId="18" fillId="17" borderId="11" xfId="0" applyNumberFormat="1" applyFont="1" applyFill="1" applyBorder="1" applyAlignment="1">
      <alignment horizontal="right" vertical="center" indent="1"/>
    </xf>
    <xf numFmtId="170" fontId="18" fillId="18" borderId="0" xfId="0" applyNumberFormat="1" applyFont="1" applyFill="1" applyAlignment="1">
      <alignment horizontal="right" vertical="center" indent="1"/>
    </xf>
    <xf numFmtId="170" fontId="18" fillId="19" borderId="11" xfId="0" applyNumberFormat="1" applyFont="1" applyFill="1" applyBorder="1" applyAlignment="1">
      <alignment horizontal="right" vertical="center" indent="1"/>
    </xf>
    <xf numFmtId="9" fontId="18" fillId="17" borderId="11" xfId="2" applyFont="1" applyFill="1" applyBorder="1" applyAlignment="1">
      <alignment horizontal="right" vertical="center" indent="1"/>
    </xf>
    <xf numFmtId="9" fontId="18" fillId="18" borderId="0" xfId="2" applyFont="1" applyFill="1" applyBorder="1" applyAlignment="1">
      <alignment horizontal="right" vertical="center" indent="1"/>
    </xf>
    <xf numFmtId="9" fontId="18" fillId="19" borderId="11" xfId="2" applyFont="1" applyFill="1" applyBorder="1" applyAlignment="1">
      <alignment horizontal="right" vertical="center" indent="1"/>
    </xf>
    <xf numFmtId="169" fontId="18" fillId="17" borderId="11" xfId="0" applyNumberFormat="1" applyFont="1" applyFill="1" applyBorder="1" applyAlignment="1">
      <alignment horizontal="right" vertical="center" indent="1"/>
    </xf>
    <xf numFmtId="169" fontId="18" fillId="18" borderId="0" xfId="0" applyNumberFormat="1" applyFont="1" applyFill="1" applyAlignment="1">
      <alignment horizontal="right" vertical="center" indent="1"/>
    </xf>
    <xf numFmtId="169" fontId="18" fillId="19" borderId="11" xfId="0" applyNumberFormat="1" applyFont="1" applyFill="1" applyBorder="1" applyAlignment="1">
      <alignment horizontal="right" vertical="center" indent="1"/>
    </xf>
    <xf numFmtId="9" fontId="8" fillId="17" borderId="11" xfId="2" applyFont="1" applyFill="1" applyBorder="1" applyAlignment="1">
      <alignment horizontal="right" vertical="center" indent="1"/>
    </xf>
    <xf numFmtId="9" fontId="8" fillId="18" borderId="0" xfId="2" applyFont="1" applyFill="1" applyBorder="1" applyAlignment="1">
      <alignment horizontal="right" vertical="center" indent="1"/>
    </xf>
    <xf numFmtId="9" fontId="8" fillId="19" borderId="11" xfId="2" applyFont="1" applyFill="1" applyBorder="1" applyAlignment="1">
      <alignment horizontal="right" vertical="center" indent="1"/>
    </xf>
    <xf numFmtId="9" fontId="8" fillId="17" borderId="12" xfId="2" applyFont="1" applyFill="1" applyBorder="1" applyAlignment="1">
      <alignment horizontal="right" vertical="center" indent="1"/>
    </xf>
    <xf numFmtId="9" fontId="8" fillId="18" borderId="1" xfId="2" applyFont="1" applyFill="1" applyBorder="1" applyAlignment="1">
      <alignment horizontal="right" vertical="center" indent="1"/>
    </xf>
    <xf numFmtId="9" fontId="8" fillId="19" borderId="12" xfId="2" applyFont="1" applyFill="1" applyBorder="1" applyAlignment="1">
      <alignment horizontal="right" vertical="center" indent="1"/>
    </xf>
    <xf numFmtId="0" fontId="8" fillId="5" borderId="20" xfId="0" applyFont="1" applyFill="1" applyBorder="1" applyAlignment="1">
      <alignment vertical="center" wrapText="1"/>
    </xf>
    <xf numFmtId="0" fontId="8" fillId="12" borderId="20" xfId="4" applyFont="1" applyBorder="1" applyAlignment="1">
      <alignment vertical="center" wrapText="1"/>
    </xf>
    <xf numFmtId="0" fontId="33" fillId="12" borderId="20" xfId="4" applyFont="1" applyBorder="1" applyAlignment="1">
      <alignment horizontal="right" vertical="center" wrapText="1" indent="1"/>
    </xf>
    <xf numFmtId="0" fontId="20" fillId="12" borderId="20" xfId="4" applyFont="1" applyBorder="1" applyAlignment="1">
      <alignment horizontal="right" vertical="center" wrapText="1" indent="1"/>
    </xf>
    <xf numFmtId="0" fontId="22" fillId="12" borderId="21" xfId="4" applyFont="1" applyBorder="1" applyAlignment="1">
      <alignment horizontal="right" vertical="center" wrapText="1" indent="1"/>
    </xf>
    <xf numFmtId="0" fontId="27" fillId="5" borderId="4" xfId="0" applyFont="1" applyFill="1" applyBorder="1" applyAlignment="1">
      <alignment horizontal="right"/>
    </xf>
    <xf numFmtId="0" fontId="27" fillId="5" borderId="2" xfId="0" applyFont="1" applyFill="1" applyBorder="1" applyAlignment="1">
      <alignment horizontal="right"/>
    </xf>
    <xf numFmtId="0" fontId="8" fillId="5" borderId="2" xfId="0" applyFont="1" applyFill="1" applyBorder="1" applyAlignment="1">
      <alignment horizontal="right" indent="1"/>
    </xf>
    <xf numFmtId="172" fontId="33" fillId="17" borderId="10" xfId="7" applyNumberFormat="1" applyFont="1" applyFill="1" applyBorder="1" applyAlignment="1">
      <alignment horizontal="right" vertical="center" indent="1"/>
    </xf>
    <xf numFmtId="172" fontId="20" fillId="18" borderId="4" xfId="7" applyNumberFormat="1" applyFont="1" applyFill="1" applyBorder="1" applyAlignment="1">
      <alignment horizontal="right" vertical="center" indent="1"/>
    </xf>
    <xf numFmtId="0" fontId="27" fillId="5" borderId="6" xfId="0" applyFont="1" applyFill="1" applyBorder="1" applyAlignment="1">
      <alignment horizontal="right"/>
    </xf>
    <xf numFmtId="0" fontId="27" fillId="5" borderId="0" xfId="0" applyFont="1" applyFill="1" applyAlignment="1">
      <alignment horizontal="right"/>
    </xf>
    <xf numFmtId="0" fontId="8" fillId="5" borderId="0" xfId="0" applyFont="1" applyFill="1" applyAlignment="1">
      <alignment horizontal="right" indent="1"/>
    </xf>
    <xf numFmtId="174" fontId="33" fillId="17" borderId="11" xfId="7" applyNumberFormat="1" applyFont="1" applyFill="1" applyBorder="1" applyAlignment="1">
      <alignment horizontal="right" vertical="center" indent="1"/>
    </xf>
    <xf numFmtId="175" fontId="20" fillId="18" borderId="6" xfId="7" applyNumberFormat="1" applyFont="1" applyFill="1" applyBorder="1" applyAlignment="1">
      <alignment horizontal="right" vertical="center" indent="1"/>
    </xf>
    <xf numFmtId="0" fontId="27" fillId="5" borderId="8" xfId="0" applyFont="1" applyFill="1" applyBorder="1" applyAlignment="1">
      <alignment horizontal="right"/>
    </xf>
    <xf numFmtId="0" fontId="27" fillId="5" borderId="1" xfId="0" applyFont="1" applyFill="1" applyBorder="1" applyAlignment="1">
      <alignment horizontal="right"/>
    </xf>
    <xf numFmtId="0" fontId="8" fillId="5" borderId="1" xfId="0" applyFont="1" applyFill="1" applyBorder="1" applyAlignment="1">
      <alignment horizontal="right" indent="1"/>
    </xf>
    <xf numFmtId="175" fontId="20" fillId="18" borderId="8" xfId="7" applyNumberFormat="1" applyFont="1" applyFill="1" applyBorder="1" applyAlignment="1">
      <alignment horizontal="right" vertical="center" indent="1"/>
    </xf>
    <xf numFmtId="10" fontId="33" fillId="17" borderId="17" xfId="6" applyNumberFormat="1" applyFont="1" applyFill="1" applyBorder="1" applyAlignment="1">
      <alignment vertical="center"/>
    </xf>
    <xf numFmtId="0" fontId="38" fillId="17" borderId="18" xfId="6" applyFont="1" applyFill="1" applyBorder="1"/>
    <xf numFmtId="10" fontId="33" fillId="17" borderId="18" xfId="6" applyNumberFormat="1" applyFont="1" applyFill="1" applyBorder="1" applyAlignment="1">
      <alignment horizontal="left" vertical="center"/>
    </xf>
    <xf numFmtId="176" fontId="33" fillId="17" borderId="18" xfId="6" applyNumberFormat="1" applyFont="1" applyFill="1" applyBorder="1" applyAlignment="1">
      <alignment horizontal="right" vertical="center"/>
    </xf>
    <xf numFmtId="10" fontId="33" fillId="17" borderId="18" xfId="6" applyNumberFormat="1" applyFont="1" applyFill="1" applyBorder="1" applyAlignment="1">
      <alignment horizontal="center" vertical="center" wrapText="1"/>
    </xf>
    <xf numFmtId="0" fontId="38" fillId="17" borderId="19" xfId="6" applyFont="1" applyFill="1" applyBorder="1"/>
    <xf numFmtId="0" fontId="18" fillId="17" borderId="13" xfId="6" applyFont="1" applyFill="1" applyBorder="1" applyAlignment="1">
      <alignment vertical="center"/>
    </xf>
    <xf numFmtId="0" fontId="33" fillId="17" borderId="0" xfId="6" applyFont="1" applyFill="1" applyBorder="1" applyAlignment="1">
      <alignment vertical="center"/>
    </xf>
    <xf numFmtId="0" fontId="39" fillId="17" borderId="0" xfId="6" applyFont="1" applyFill="1" applyBorder="1" applyAlignment="1">
      <alignment vertical="center"/>
    </xf>
    <xf numFmtId="0" fontId="39" fillId="17" borderId="25" xfId="6" applyFont="1" applyFill="1" applyBorder="1" applyAlignment="1">
      <alignment vertical="center"/>
    </xf>
    <xf numFmtId="0" fontId="20" fillId="18" borderId="17" xfId="0" applyFont="1" applyFill="1" applyBorder="1"/>
    <xf numFmtId="0" fontId="17" fillId="18" borderId="18" xfId="0" applyFont="1" applyFill="1" applyBorder="1"/>
    <xf numFmtId="0" fontId="8" fillId="18" borderId="26" xfId="0" applyFont="1" applyFill="1" applyBorder="1" applyAlignment="1">
      <alignment horizontal="right" indent="2"/>
    </xf>
    <xf numFmtId="0" fontId="8" fillId="18" borderId="18" xfId="0" applyFont="1" applyFill="1" applyBorder="1" applyAlignment="1">
      <alignment horizontal="right" indent="2"/>
    </xf>
    <xf numFmtId="0" fontId="8" fillId="18" borderId="19" xfId="0" applyFont="1" applyFill="1" applyBorder="1" applyAlignment="1">
      <alignment horizontal="right" indent="2"/>
    </xf>
    <xf numFmtId="0" fontId="8" fillId="18" borderId="17" xfId="0" applyFont="1" applyFill="1" applyBorder="1"/>
    <xf numFmtId="0" fontId="8" fillId="18" borderId="18" xfId="0" applyFont="1" applyFill="1" applyBorder="1"/>
    <xf numFmtId="169" fontId="20" fillId="18" borderId="18" xfId="0" applyNumberFormat="1" applyFont="1" applyFill="1" applyBorder="1" applyAlignment="1">
      <alignment horizontal="right" indent="1"/>
    </xf>
    <xf numFmtId="3" fontId="20" fillId="18" borderId="18" xfId="0" applyNumberFormat="1" applyFont="1" applyFill="1" applyBorder="1" applyAlignment="1">
      <alignment horizontal="right" indent="1"/>
    </xf>
    <xf numFmtId="0" fontId="8" fillId="18" borderId="13" xfId="0" applyFont="1" applyFill="1" applyBorder="1"/>
    <xf numFmtId="0" fontId="8" fillId="18" borderId="0" xfId="0" applyFont="1" applyFill="1"/>
    <xf numFmtId="169" fontId="20" fillId="18" borderId="0" xfId="0" applyNumberFormat="1" applyFont="1" applyFill="1" applyAlignment="1">
      <alignment horizontal="right" indent="1"/>
    </xf>
    <xf numFmtId="170" fontId="18" fillId="18" borderId="0" xfId="0" applyNumberFormat="1" applyFont="1" applyFill="1" applyAlignment="1">
      <alignment horizontal="right" indent="1"/>
    </xf>
    <xf numFmtId="177" fontId="18" fillId="18" borderId="25" xfId="0" applyNumberFormat="1" applyFont="1" applyFill="1" applyBorder="1" applyAlignment="1">
      <alignment horizontal="right" indent="1"/>
    </xf>
    <xf numFmtId="169" fontId="18" fillId="18" borderId="0" xfId="0" applyNumberFormat="1" applyFont="1" applyFill="1" applyAlignment="1">
      <alignment horizontal="right" indent="1"/>
    </xf>
    <xf numFmtId="169" fontId="18" fillId="18" borderId="0" xfId="2" applyNumberFormat="1" applyFont="1" applyFill="1" applyBorder="1" applyAlignment="1">
      <alignment horizontal="right" indent="1"/>
    </xf>
    <xf numFmtId="178" fontId="18" fillId="18" borderId="25" xfId="2" applyNumberFormat="1" applyFont="1" applyFill="1" applyBorder="1" applyAlignment="1">
      <alignment horizontal="right" indent="1"/>
    </xf>
    <xf numFmtId="0" fontId="8" fillId="18" borderId="13" xfId="0" applyFont="1" applyFill="1" applyBorder="1" applyAlignment="1">
      <alignment horizontal="left"/>
    </xf>
    <xf numFmtId="0" fontId="17" fillId="18" borderId="0" xfId="0" applyFont="1" applyFill="1"/>
    <xf numFmtId="169" fontId="20" fillId="18" borderId="25" xfId="0" applyNumberFormat="1" applyFont="1" applyFill="1" applyBorder="1" applyAlignment="1">
      <alignment horizontal="right" indent="1"/>
    </xf>
    <xf numFmtId="0" fontId="27" fillId="18" borderId="0" xfId="0" applyFont="1" applyFill="1"/>
    <xf numFmtId="169" fontId="8" fillId="18" borderId="0" xfId="0" applyNumberFormat="1" applyFont="1" applyFill="1" applyAlignment="1">
      <alignment horizontal="center"/>
    </xf>
    <xf numFmtId="10" fontId="20" fillId="18" borderId="0" xfId="2" applyNumberFormat="1" applyFont="1" applyFill="1" applyBorder="1" applyAlignment="1">
      <alignment horizontal="right" indent="1"/>
    </xf>
    <xf numFmtId="10" fontId="20" fillId="18" borderId="25" xfId="2" applyNumberFormat="1" applyFont="1" applyFill="1" applyBorder="1" applyAlignment="1">
      <alignment horizontal="right" indent="1"/>
    </xf>
    <xf numFmtId="0" fontId="8" fillId="18" borderId="27" xfId="0" applyFont="1" applyFill="1" applyBorder="1"/>
    <xf numFmtId="0" fontId="27" fillId="18" borderId="28" xfId="0" applyFont="1" applyFill="1" applyBorder="1"/>
    <xf numFmtId="169" fontId="8" fillId="18" borderId="28" xfId="0" applyNumberFormat="1" applyFont="1" applyFill="1" applyBorder="1" applyAlignment="1">
      <alignment horizontal="center"/>
    </xf>
    <xf numFmtId="0" fontId="17" fillId="18" borderId="28" xfId="0" applyFont="1" applyFill="1" applyBorder="1"/>
    <xf numFmtId="169" fontId="20" fillId="18" borderId="28" xfId="0" applyNumberFormat="1" applyFont="1" applyFill="1" applyBorder="1" applyAlignment="1">
      <alignment horizontal="right" indent="1"/>
    </xf>
    <xf numFmtId="169" fontId="20" fillId="18" borderId="29" xfId="0" applyNumberFormat="1" applyFont="1" applyFill="1" applyBorder="1" applyAlignment="1">
      <alignment horizontal="right" indent="1"/>
    </xf>
    <xf numFmtId="0" fontId="8" fillId="14" borderId="30" xfId="0" applyFont="1" applyFill="1" applyBorder="1"/>
    <xf numFmtId="0" fontId="8" fillId="14" borderId="31" xfId="0" applyFont="1" applyFill="1" applyBorder="1"/>
    <xf numFmtId="0" fontId="8" fillId="14" borderId="31" xfId="0" applyFont="1" applyFill="1" applyBorder="1" applyAlignment="1">
      <alignment vertical="center"/>
    </xf>
    <xf numFmtId="0" fontId="8" fillId="14" borderId="13" xfId="0" applyFont="1" applyFill="1" applyBorder="1" applyAlignment="1">
      <alignment vertical="center"/>
    </xf>
    <xf numFmtId="0" fontId="17" fillId="14" borderId="0" xfId="0" applyFont="1" applyFill="1" applyAlignment="1">
      <alignment vertical="center"/>
    </xf>
    <xf numFmtId="0" fontId="8" fillId="14" borderId="26" xfId="0" applyFont="1" applyFill="1" applyBorder="1" applyAlignment="1">
      <alignment horizontal="right" vertical="center" indent="2"/>
    </xf>
    <xf numFmtId="0" fontId="8" fillId="14" borderId="28" xfId="0" applyFont="1" applyFill="1" applyBorder="1" applyAlignment="1">
      <alignment horizontal="right" vertical="center" indent="2"/>
    </xf>
    <xf numFmtId="0" fontId="8" fillId="14" borderId="29" xfId="0" applyFont="1" applyFill="1" applyBorder="1" applyAlignment="1">
      <alignment horizontal="right" vertical="center" indent="2"/>
    </xf>
    <xf numFmtId="0" fontId="8" fillId="14" borderId="0" xfId="0" applyFont="1" applyFill="1" applyAlignment="1">
      <alignment vertical="center"/>
    </xf>
    <xf numFmtId="0" fontId="8" fillId="14" borderId="0" xfId="0" applyFont="1" applyFill="1"/>
    <xf numFmtId="172" fontId="8" fillId="14" borderId="0" xfId="0" applyNumberFormat="1" applyFont="1" applyFill="1" applyAlignment="1">
      <alignment horizontal="right" vertical="center" indent="1"/>
    </xf>
    <xf numFmtId="172" fontId="8" fillId="14" borderId="25" xfId="2" applyNumberFormat="1" applyFont="1" applyFill="1" applyBorder="1" applyAlignment="1">
      <alignment horizontal="right" vertical="center" indent="1"/>
    </xf>
    <xf numFmtId="172" fontId="8" fillId="14" borderId="25" xfId="0" applyNumberFormat="1" applyFont="1" applyFill="1" applyBorder="1" applyAlignment="1">
      <alignment horizontal="right" vertical="center" indent="1"/>
    </xf>
    <xf numFmtId="172" fontId="8" fillId="14" borderId="1" xfId="0" applyNumberFormat="1" applyFont="1" applyFill="1" applyBorder="1" applyAlignment="1">
      <alignment horizontal="right" vertical="center" indent="1"/>
    </xf>
    <xf numFmtId="172" fontId="8" fillId="14" borderId="33" xfId="0" applyNumberFormat="1" applyFont="1" applyFill="1" applyBorder="1" applyAlignment="1">
      <alignment horizontal="right" vertical="center" indent="1"/>
    </xf>
    <xf numFmtId="179" fontId="8" fillId="14" borderId="0" xfId="2" applyNumberFormat="1" applyFont="1" applyFill="1" applyBorder="1"/>
    <xf numFmtId="169" fontId="8" fillId="14" borderId="1" xfId="0" applyNumberFormat="1" applyFont="1" applyFill="1" applyBorder="1" applyAlignment="1">
      <alignment horizontal="right" vertical="center" indent="1"/>
    </xf>
    <xf numFmtId="172" fontId="18" fillId="14" borderId="0" xfId="0" applyNumberFormat="1" applyFont="1" applyFill="1" applyAlignment="1">
      <alignment horizontal="right" vertical="center" indent="1"/>
    </xf>
    <xf numFmtId="172" fontId="17" fillId="14" borderId="0" xfId="0" applyNumberFormat="1" applyFont="1" applyFill="1" applyAlignment="1">
      <alignment horizontal="right" vertical="center" indent="1"/>
    </xf>
    <xf numFmtId="172" fontId="17" fillId="14" borderId="25" xfId="0" applyNumberFormat="1" applyFont="1" applyFill="1" applyBorder="1" applyAlignment="1">
      <alignment horizontal="right" vertical="center" indent="1"/>
    </xf>
    <xf numFmtId="9" fontId="8" fillId="14" borderId="0" xfId="2" applyFont="1" applyFill="1" applyBorder="1" applyAlignment="1">
      <alignment horizontal="left"/>
    </xf>
    <xf numFmtId="9" fontId="8" fillId="14" borderId="0" xfId="2" applyFont="1" applyFill="1" applyBorder="1" applyAlignment="1">
      <alignment horizontal="left" vertical="center"/>
    </xf>
    <xf numFmtId="0" fontId="8" fillId="14" borderId="27" xfId="0" applyFont="1" applyFill="1" applyBorder="1" applyAlignment="1">
      <alignment vertical="center"/>
    </xf>
    <xf numFmtId="0" fontId="8" fillId="14" borderId="28" xfId="0" applyFont="1" applyFill="1" applyBorder="1" applyAlignment="1">
      <alignment vertical="center"/>
    </xf>
    <xf numFmtId="0" fontId="8" fillId="14" borderId="28" xfId="0" applyFont="1" applyFill="1" applyBorder="1"/>
    <xf numFmtId="172" fontId="8" fillId="14" borderId="28" xfId="0" applyNumberFormat="1" applyFont="1" applyFill="1" applyBorder="1" applyAlignment="1">
      <alignment horizontal="right" vertical="center" indent="1"/>
    </xf>
    <xf numFmtId="172" fontId="8" fillId="14" borderId="29" xfId="0" applyNumberFormat="1" applyFont="1" applyFill="1" applyBorder="1" applyAlignment="1">
      <alignment horizontal="right" vertical="center" indent="1"/>
    </xf>
    <xf numFmtId="0" fontId="8" fillId="5" borderId="30" xfId="0" applyFont="1" applyFill="1" applyBorder="1" applyAlignment="1">
      <alignment vertical="center"/>
    </xf>
    <xf numFmtId="0" fontId="8" fillId="5" borderId="31" xfId="0" applyFont="1" applyFill="1" applyBorder="1" applyAlignment="1">
      <alignment vertical="center"/>
    </xf>
    <xf numFmtId="172" fontId="8" fillId="5" borderId="31" xfId="0" applyNumberFormat="1" applyFont="1" applyFill="1" applyBorder="1" applyAlignment="1">
      <alignment horizontal="right" vertical="center" indent="1"/>
    </xf>
    <xf numFmtId="172" fontId="8" fillId="5" borderId="32" xfId="0" applyNumberFormat="1" applyFont="1" applyFill="1" applyBorder="1" applyAlignment="1">
      <alignment horizontal="right" vertical="center" indent="1"/>
    </xf>
    <xf numFmtId="0" fontId="8" fillId="14" borderId="17" xfId="0" applyFont="1" applyFill="1" applyBorder="1"/>
    <xf numFmtId="0" fontId="8" fillId="14" borderId="18" xfId="0" applyFont="1" applyFill="1" applyBorder="1"/>
    <xf numFmtId="0" fontId="27" fillId="14" borderId="18" xfId="0" applyFont="1" applyFill="1" applyBorder="1"/>
    <xf numFmtId="180" fontId="8" fillId="5" borderId="19" xfId="0" applyNumberFormat="1" applyFont="1" applyFill="1" applyBorder="1" applyAlignment="1">
      <alignment horizontal="right" vertical="center"/>
    </xf>
    <xf numFmtId="181" fontId="8" fillId="5" borderId="25" xfId="2" applyNumberFormat="1" applyFont="1" applyFill="1" applyBorder="1" applyAlignment="1">
      <alignment horizontal="right" vertical="center"/>
    </xf>
    <xf numFmtId="176" fontId="8" fillId="5" borderId="25" xfId="0" applyNumberFormat="1" applyFont="1" applyFill="1" applyBorder="1" applyAlignment="1">
      <alignment horizontal="right" vertical="center"/>
    </xf>
    <xf numFmtId="176" fontId="8" fillId="5" borderId="25" xfId="0" applyNumberFormat="1" applyFont="1" applyFill="1" applyBorder="1" applyAlignment="1">
      <alignment horizontal="right" vertical="center" indent="1"/>
    </xf>
    <xf numFmtId="0" fontId="8" fillId="14" borderId="18" xfId="0" applyFont="1" applyFill="1" applyBorder="1" applyAlignment="1">
      <alignment horizontal="right"/>
    </xf>
    <xf numFmtId="0" fontId="8" fillId="14" borderId="18" xfId="0" applyFont="1" applyFill="1" applyBorder="1" applyAlignment="1">
      <alignment horizontal="right" indent="1"/>
    </xf>
    <xf numFmtId="0" fontId="8" fillId="14" borderId="19" xfId="0" applyFont="1" applyFill="1" applyBorder="1" applyAlignment="1">
      <alignment horizontal="right" indent="1"/>
    </xf>
    <xf numFmtId="0" fontId="8" fillId="14" borderId="34" xfId="0" applyFont="1" applyFill="1" applyBorder="1"/>
    <xf numFmtId="0" fontId="8" fillId="14" borderId="2" xfId="0" applyFont="1" applyFill="1" applyBorder="1"/>
    <xf numFmtId="169" fontId="8" fillId="14" borderId="2" xfId="0" applyNumberFormat="1" applyFont="1" applyFill="1" applyBorder="1"/>
    <xf numFmtId="178" fontId="8" fillId="14" borderId="35" xfId="2" applyNumberFormat="1" applyFont="1" applyFill="1" applyBorder="1"/>
    <xf numFmtId="0" fontId="8" fillId="14" borderId="13" xfId="0" applyFont="1" applyFill="1" applyBorder="1"/>
    <xf numFmtId="169" fontId="8" fillId="14" borderId="0" xfId="0" applyNumberFormat="1" applyFont="1" applyFill="1"/>
    <xf numFmtId="178" fontId="8" fillId="14" borderId="25" xfId="2" applyNumberFormat="1" applyFont="1" applyFill="1" applyBorder="1"/>
    <xf numFmtId="0" fontId="8" fillId="14" borderId="13" xfId="0" applyFont="1" applyFill="1" applyBorder="1" applyAlignment="1">
      <alignment vertical="top"/>
    </xf>
    <xf numFmtId="0" fontId="8" fillId="14" borderId="0" xfId="0" applyFont="1" applyFill="1" applyAlignment="1">
      <alignment vertical="top"/>
    </xf>
    <xf numFmtId="169" fontId="8" fillId="14" borderId="0" xfId="0" applyNumberFormat="1" applyFont="1" applyFill="1" applyAlignment="1">
      <alignment vertical="top"/>
    </xf>
    <xf numFmtId="178" fontId="8" fillId="14" borderId="25" xfId="2" applyNumberFormat="1" applyFont="1" applyFill="1" applyBorder="1" applyAlignment="1">
      <alignment vertical="top"/>
    </xf>
    <xf numFmtId="0" fontId="17" fillId="14" borderId="27" xfId="6" applyFont="1" applyBorder="1"/>
    <xf numFmtId="0" fontId="17" fillId="14" borderId="28" xfId="6" applyFont="1" applyBorder="1"/>
    <xf numFmtId="0" fontId="17" fillId="14" borderId="29" xfId="6" applyFont="1" applyBorder="1"/>
    <xf numFmtId="10" fontId="20" fillId="18" borderId="17" xfId="6" applyNumberFormat="1" applyFont="1" applyFill="1" applyBorder="1" applyAlignment="1">
      <alignment vertical="center"/>
    </xf>
    <xf numFmtId="0" fontId="41" fillId="18" borderId="18" xfId="6" applyFont="1" applyFill="1" applyBorder="1"/>
    <xf numFmtId="10" fontId="20" fillId="18" borderId="18" xfId="6" applyNumberFormat="1" applyFont="1" applyFill="1" applyBorder="1" applyAlignment="1">
      <alignment horizontal="left" vertical="center"/>
    </xf>
    <xf numFmtId="176" fontId="20" fillId="18" borderId="18" xfId="6" applyNumberFormat="1" applyFont="1" applyFill="1" applyBorder="1" applyAlignment="1">
      <alignment horizontal="right" vertical="center"/>
    </xf>
    <xf numFmtId="10" fontId="20" fillId="18" borderId="18" xfId="6" applyNumberFormat="1" applyFont="1" applyFill="1" applyBorder="1" applyAlignment="1">
      <alignment horizontal="center" vertical="center" wrapText="1"/>
    </xf>
    <xf numFmtId="0" fontId="41" fillId="18" borderId="19" xfId="6" applyFont="1" applyFill="1" applyBorder="1"/>
    <xf numFmtId="0" fontId="20" fillId="18" borderId="13" xfId="6" applyFont="1" applyFill="1" applyBorder="1" applyAlignment="1">
      <alignment horizontal="center" vertical="center"/>
    </xf>
    <xf numFmtId="0" fontId="20" fillId="18" borderId="0" xfId="6" applyFont="1" applyFill="1" applyBorder="1" applyAlignment="1">
      <alignment horizontal="center" vertical="center"/>
    </xf>
    <xf numFmtId="0" fontId="42" fillId="18" borderId="0" xfId="6" applyFont="1" applyFill="1" applyBorder="1" applyAlignment="1">
      <alignment vertical="center"/>
    </xf>
    <xf numFmtId="0" fontId="42" fillId="18" borderId="25" xfId="6" applyFont="1" applyFill="1" applyBorder="1" applyAlignment="1">
      <alignment vertical="center"/>
    </xf>
    <xf numFmtId="170" fontId="20" fillId="18" borderId="0" xfId="0" applyNumberFormat="1" applyFont="1" applyFill="1" applyAlignment="1">
      <alignment horizontal="right" indent="1"/>
    </xf>
    <xf numFmtId="177" fontId="20" fillId="18" borderId="25" xfId="0" applyNumberFormat="1" applyFont="1" applyFill="1" applyBorder="1" applyAlignment="1">
      <alignment horizontal="right" indent="1"/>
    </xf>
    <xf numFmtId="0" fontId="8" fillId="14" borderId="17" xfId="0" applyFont="1" applyFill="1" applyBorder="1" applyAlignment="1">
      <alignment vertical="center"/>
    </xf>
    <xf numFmtId="0" fontId="17" fillId="14" borderId="18" xfId="0" applyFont="1" applyFill="1" applyBorder="1" applyAlignment="1">
      <alignment vertical="center"/>
    </xf>
    <xf numFmtId="0" fontId="17" fillId="14" borderId="18" xfId="0" applyFont="1" applyFill="1" applyBorder="1"/>
    <xf numFmtId="0" fontId="8" fillId="14" borderId="31" xfId="0" applyFont="1" applyFill="1" applyBorder="1" applyAlignment="1">
      <alignment horizontal="right" vertical="center" indent="2"/>
    </xf>
    <xf numFmtId="0" fontId="8" fillId="14" borderId="32" xfId="0" applyFont="1" applyFill="1" applyBorder="1" applyAlignment="1">
      <alignment horizontal="right" vertical="center" indent="2"/>
    </xf>
    <xf numFmtId="0" fontId="8" fillId="5" borderId="17" xfId="0" applyFont="1" applyFill="1" applyBorder="1" applyAlignment="1">
      <alignment vertical="center"/>
    </xf>
    <xf numFmtId="0" fontId="8" fillId="5" borderId="18" xfId="0" applyFont="1" applyFill="1" applyBorder="1" applyAlignment="1">
      <alignment vertical="center"/>
    </xf>
    <xf numFmtId="172" fontId="8" fillId="5" borderId="18" xfId="0" applyNumberFormat="1" applyFont="1" applyFill="1" applyBorder="1" applyAlignment="1">
      <alignment horizontal="right" vertical="center" indent="1"/>
    </xf>
    <xf numFmtId="10" fontId="43" fillId="19" borderId="17" xfId="6" applyNumberFormat="1" applyFont="1" applyFill="1" applyBorder="1" applyAlignment="1">
      <alignment vertical="center"/>
    </xf>
    <xf numFmtId="0" fontId="44" fillId="19" borderId="18" xfId="6" applyFont="1" applyFill="1" applyBorder="1"/>
    <xf numFmtId="10" fontId="43" fillId="19" borderId="18" xfId="6" applyNumberFormat="1" applyFont="1" applyFill="1" applyBorder="1" applyAlignment="1">
      <alignment horizontal="left" vertical="center"/>
    </xf>
    <xf numFmtId="176" fontId="43" fillId="19" borderId="18" xfId="6" applyNumberFormat="1" applyFont="1" applyFill="1" applyBorder="1" applyAlignment="1">
      <alignment horizontal="right" vertical="center"/>
    </xf>
    <xf numFmtId="10" fontId="43" fillId="19" borderId="18" xfId="6" applyNumberFormat="1" applyFont="1" applyFill="1" applyBorder="1" applyAlignment="1">
      <alignment horizontal="center" vertical="center" wrapText="1"/>
    </xf>
    <xf numFmtId="0" fontId="44" fillId="19" borderId="19" xfId="6" applyFont="1" applyFill="1" applyBorder="1"/>
    <xf numFmtId="0" fontId="43" fillId="19" borderId="13" xfId="6" applyFont="1" applyFill="1" applyBorder="1" applyAlignment="1">
      <alignment horizontal="center" vertical="center"/>
    </xf>
    <xf numFmtId="0" fontId="43" fillId="19" borderId="0" xfId="6" applyFont="1" applyFill="1" applyBorder="1" applyAlignment="1">
      <alignment horizontal="center" vertical="center"/>
    </xf>
    <xf numFmtId="0" fontId="45" fillId="19" borderId="0" xfId="6" applyFont="1" applyFill="1" applyBorder="1" applyAlignment="1">
      <alignment vertical="center"/>
    </xf>
    <xf numFmtId="0" fontId="45" fillId="19" borderId="25" xfId="6" applyFont="1" applyFill="1" applyBorder="1" applyAlignment="1">
      <alignment vertical="center"/>
    </xf>
    <xf numFmtId="172" fontId="8" fillId="14" borderId="29" xfId="2" applyNumberFormat="1" applyFont="1" applyFill="1" applyBorder="1" applyAlignment="1">
      <alignment horizontal="right" vertical="center" indent="1"/>
    </xf>
    <xf numFmtId="0" fontId="8" fillId="14" borderId="18" xfId="0" applyFont="1" applyFill="1" applyBorder="1" applyAlignment="1">
      <alignment vertical="center"/>
    </xf>
    <xf numFmtId="172" fontId="8" fillId="14" borderId="18" xfId="0" applyNumberFormat="1" applyFont="1" applyFill="1" applyBorder="1" applyAlignment="1">
      <alignment horizontal="right" vertical="center" indent="1"/>
    </xf>
    <xf numFmtId="172" fontId="8" fillId="14" borderId="19" xfId="0" applyNumberFormat="1" applyFont="1" applyFill="1" applyBorder="1" applyAlignment="1">
      <alignment horizontal="right" vertical="center" indent="1"/>
    </xf>
    <xf numFmtId="183" fontId="8" fillId="5" borderId="25" xfId="2" applyNumberFormat="1" applyFont="1" applyFill="1" applyBorder="1" applyAlignment="1">
      <alignment horizontal="right" vertical="center"/>
    </xf>
    <xf numFmtId="2" fontId="33" fillId="17" borderId="11" xfId="7" applyNumberFormat="1" applyFont="1" applyFill="1" applyBorder="1" applyAlignment="1">
      <alignment horizontal="right" vertical="center" indent="1"/>
    </xf>
    <xf numFmtId="10" fontId="18" fillId="17" borderId="11" xfId="2" applyNumberFormat="1" applyFont="1" applyFill="1" applyBorder="1" applyAlignment="1">
      <alignment horizontal="right" vertical="center" indent="1"/>
    </xf>
    <xf numFmtId="37" fontId="3" fillId="0" borderId="0" xfId="0" applyNumberFormat="1" applyFont="1" applyAlignment="1">
      <alignment horizontal="right"/>
    </xf>
    <xf numFmtId="37" fontId="4" fillId="0" borderId="0" xfId="0" applyNumberFormat="1" applyFont="1" applyAlignment="1">
      <alignment horizontal="right"/>
    </xf>
    <xf numFmtId="0" fontId="8" fillId="14" borderId="6" xfId="0" applyFont="1" applyFill="1" applyBorder="1" applyAlignment="1">
      <alignment horizontal="left" vertical="center" wrapText="1"/>
    </xf>
    <xf numFmtId="0" fontId="27" fillId="14" borderId="0" xfId="0" applyFont="1" applyFill="1" applyAlignment="1">
      <alignment horizontal="left" vertical="center" wrapText="1"/>
    </xf>
    <xf numFmtId="0" fontId="33" fillId="17" borderId="6" xfId="0" applyFont="1" applyFill="1" applyBorder="1" applyAlignment="1">
      <alignment horizontal="center" vertical="center"/>
    </xf>
    <xf numFmtId="0" fontId="20" fillId="18" borderId="6" xfId="0" applyFont="1" applyFill="1" applyBorder="1" applyAlignment="1">
      <alignment horizontal="center" vertical="center" wrapText="1"/>
    </xf>
    <xf numFmtId="0" fontId="22" fillId="19" borderId="11" xfId="0" applyFont="1" applyFill="1" applyBorder="1" applyAlignment="1">
      <alignment horizontal="center" vertical="center"/>
    </xf>
    <xf numFmtId="3" fontId="20" fillId="18" borderId="0" xfId="0" applyNumberFormat="1" applyFont="1" applyFill="1" applyAlignment="1">
      <alignment horizontal="right" indent="1"/>
    </xf>
    <xf numFmtId="9" fontId="20" fillId="18" borderId="0" xfId="2" applyFont="1" applyFill="1" applyBorder="1" applyAlignment="1">
      <alignment horizontal="right" indent="1"/>
    </xf>
    <xf numFmtId="9" fontId="20" fillId="18" borderId="25" xfId="2" applyFont="1" applyFill="1" applyBorder="1" applyAlignment="1">
      <alignment horizontal="right" indent="1"/>
    </xf>
    <xf numFmtId="0" fontId="20" fillId="18" borderId="0" xfId="0" applyFont="1" applyFill="1" applyAlignment="1">
      <alignment horizontal="right" indent="1"/>
    </xf>
    <xf numFmtId="10" fontId="18" fillId="18" borderId="0" xfId="0" applyNumberFormat="1" applyFont="1" applyFill="1" applyAlignment="1">
      <alignment horizontal="right" indent="1"/>
    </xf>
    <xf numFmtId="0" fontId="18" fillId="18" borderId="0" xfId="0" applyFont="1" applyFill="1" applyAlignment="1">
      <alignment horizontal="right" indent="1"/>
    </xf>
    <xf numFmtId="0" fontId="18" fillId="18" borderId="25" xfId="0" applyFont="1" applyFill="1" applyBorder="1" applyAlignment="1">
      <alignment horizontal="right" indent="1"/>
    </xf>
    <xf numFmtId="10" fontId="20" fillId="18" borderId="0" xfId="0" applyNumberFormat="1" applyFont="1" applyFill="1" applyAlignment="1">
      <alignment horizontal="right" indent="1"/>
    </xf>
    <xf numFmtId="10" fontId="20" fillId="18" borderId="25" xfId="0" applyNumberFormat="1" applyFont="1" applyFill="1" applyBorder="1" applyAlignment="1">
      <alignment horizontal="right" indent="1"/>
    </xf>
    <xf numFmtId="0" fontId="20" fillId="18" borderId="25" xfId="0" applyFont="1" applyFill="1" applyBorder="1" applyAlignment="1">
      <alignment horizontal="right" indent="1"/>
    </xf>
    <xf numFmtId="3" fontId="18" fillId="18" borderId="0" xfId="0" applyNumberFormat="1" applyFont="1" applyFill="1" applyAlignment="1">
      <alignment horizontal="right" indent="1"/>
    </xf>
    <xf numFmtId="10" fontId="20" fillId="18" borderId="6" xfId="7" applyNumberFormat="1" applyFont="1" applyFill="1" applyBorder="1" applyAlignment="1">
      <alignment horizontal="right" vertical="center" indent="1"/>
    </xf>
    <xf numFmtId="2" fontId="8" fillId="17" borderId="12" xfId="2" applyNumberFormat="1" applyFont="1" applyFill="1" applyBorder="1" applyAlignment="1">
      <alignment horizontal="right" vertical="center" indent="1"/>
    </xf>
    <xf numFmtId="172" fontId="18" fillId="12" borderId="0" xfId="4" applyNumberFormat="1" applyFont="1" applyBorder="1" applyAlignment="1">
      <alignment horizontal="right" vertical="center" indent="1"/>
    </xf>
    <xf numFmtId="169" fontId="20" fillId="18" borderId="25" xfId="2" applyNumberFormat="1" applyFont="1" applyFill="1" applyBorder="1" applyAlignment="1">
      <alignment horizontal="right" indent="1"/>
    </xf>
    <xf numFmtId="3" fontId="20" fillId="18" borderId="25" xfId="0" applyNumberFormat="1" applyFont="1" applyFill="1" applyBorder="1" applyAlignment="1">
      <alignment horizontal="right" indent="1"/>
    </xf>
    <xf numFmtId="3" fontId="20" fillId="18" borderId="19" xfId="0" applyNumberFormat="1" applyFont="1" applyFill="1" applyBorder="1" applyAlignment="1">
      <alignment horizontal="right" indent="1"/>
    </xf>
    <xf numFmtId="170" fontId="20" fillId="18" borderId="25" xfId="0" applyNumberFormat="1" applyFont="1" applyFill="1" applyBorder="1" applyAlignment="1">
      <alignment horizontal="right" indent="1"/>
    </xf>
    <xf numFmtId="10" fontId="18" fillId="18" borderId="25" xfId="0" applyNumberFormat="1" applyFont="1" applyFill="1" applyBorder="1" applyAlignment="1">
      <alignment horizontal="right" indent="1"/>
    </xf>
    <xf numFmtId="3" fontId="18" fillId="18" borderId="25" xfId="0" applyNumberFormat="1" applyFont="1" applyFill="1" applyBorder="1" applyAlignment="1">
      <alignment horizontal="right" indent="1"/>
    </xf>
    <xf numFmtId="169" fontId="0" fillId="0" borderId="0" xfId="0" applyNumberFormat="1"/>
    <xf numFmtId="10" fontId="8" fillId="17" borderId="11" xfId="2" applyNumberFormat="1" applyFont="1" applyFill="1" applyBorder="1" applyAlignment="1">
      <alignment horizontal="right" vertical="center" indent="1"/>
    </xf>
    <xf numFmtId="10" fontId="8" fillId="18" borderId="0" xfId="2" applyNumberFormat="1" applyFont="1" applyFill="1" applyBorder="1" applyAlignment="1">
      <alignment horizontal="right" vertical="center" indent="1"/>
    </xf>
    <xf numFmtId="10" fontId="8" fillId="19" borderId="11" xfId="2" applyNumberFormat="1" applyFont="1" applyFill="1" applyBorder="1" applyAlignment="1">
      <alignment horizontal="right" vertical="center" indent="1"/>
    </xf>
    <xf numFmtId="169" fontId="46" fillId="20" borderId="10" xfId="8" applyNumberFormat="1" applyFont="1" applyBorder="1" applyAlignment="1">
      <alignment horizontal="right" indent="1"/>
    </xf>
    <xf numFmtId="169" fontId="18" fillId="18" borderId="25" xfId="2" applyNumberFormat="1" applyFont="1" applyFill="1" applyBorder="1" applyAlignment="1">
      <alignment horizontal="right" indent="1"/>
    </xf>
    <xf numFmtId="0" fontId="20" fillId="18" borderId="30" xfId="0" applyFont="1" applyFill="1" applyBorder="1"/>
    <xf numFmtId="0" fontId="17" fillId="18" borderId="31" xfId="0" applyFont="1" applyFill="1" applyBorder="1"/>
    <xf numFmtId="0" fontId="20" fillId="18" borderId="31" xfId="0" applyFont="1" applyFill="1" applyBorder="1"/>
    <xf numFmtId="0" fontId="8" fillId="18" borderId="31" xfId="0" applyFont="1" applyFill="1" applyBorder="1" applyAlignment="1">
      <alignment horizontal="right" indent="2"/>
    </xf>
    <xf numFmtId="0" fontId="8" fillId="18" borderId="32" xfId="0" applyFont="1" applyFill="1" applyBorder="1" applyAlignment="1">
      <alignment horizontal="right" indent="2"/>
    </xf>
    <xf numFmtId="172" fontId="47" fillId="19" borderId="10" xfId="7" applyNumberFormat="1" applyFont="1" applyFill="1" applyBorder="1" applyAlignment="1">
      <alignment horizontal="right" vertical="center" indent="1"/>
    </xf>
    <xf numFmtId="10" fontId="47" fillId="19" borderId="11" xfId="7" applyNumberFormat="1" applyFont="1" applyFill="1" applyBorder="1" applyAlignment="1">
      <alignment horizontal="right" vertical="center" indent="1"/>
    </xf>
    <xf numFmtId="175" fontId="47" fillId="19" borderId="11" xfId="7" applyNumberFormat="1" applyFont="1" applyFill="1" applyBorder="1" applyAlignment="1">
      <alignment horizontal="right" vertical="center" indent="1"/>
    </xf>
    <xf numFmtId="175" fontId="47" fillId="19" borderId="12" xfId="7" applyNumberFormat="1" applyFont="1" applyFill="1" applyBorder="1" applyAlignment="1">
      <alignment horizontal="right" vertical="center" indent="1"/>
    </xf>
    <xf numFmtId="9" fontId="47" fillId="19" borderId="11" xfId="2" applyFont="1" applyFill="1" applyBorder="1" applyAlignment="1">
      <alignment horizontal="right" vertical="center" indent="1"/>
    </xf>
    <xf numFmtId="169" fontId="18" fillId="19" borderId="10" xfId="0" applyNumberFormat="1" applyFont="1" applyFill="1" applyBorder="1" applyAlignment="1">
      <alignment horizontal="right" vertical="center" indent="1"/>
    </xf>
    <xf numFmtId="9" fontId="22" fillId="14" borderId="21" xfId="6" applyNumberFormat="1" applyFont="1" applyBorder="1" applyAlignment="1">
      <alignment horizontal="right" vertical="center" indent="1"/>
    </xf>
    <xf numFmtId="0" fontId="27" fillId="14" borderId="21" xfId="0" applyFont="1" applyFill="1" applyBorder="1" applyAlignment="1">
      <alignment horizontal="left" vertical="center" wrapText="1"/>
    </xf>
    <xf numFmtId="9" fontId="33" fillId="14" borderId="3" xfId="6" applyNumberFormat="1" applyFont="1" applyBorder="1" applyAlignment="1">
      <alignment horizontal="right" vertical="center" indent="1"/>
    </xf>
    <xf numFmtId="9" fontId="20" fillId="14" borderId="3" xfId="6" applyNumberFormat="1" applyFont="1" applyBorder="1" applyAlignment="1">
      <alignment horizontal="right" vertical="center" indent="1"/>
    </xf>
    <xf numFmtId="169" fontId="18" fillId="18" borderId="25" xfId="0" applyNumberFormat="1" applyFont="1" applyFill="1" applyBorder="1" applyAlignment="1">
      <alignment horizontal="right" indent="1"/>
    </xf>
    <xf numFmtId="3" fontId="0" fillId="0" borderId="0" xfId="0" applyNumberFormat="1"/>
    <xf numFmtId="9" fontId="0" fillId="0" borderId="0" xfId="0" applyNumberFormat="1"/>
    <xf numFmtId="0" fontId="2" fillId="2" borderId="28" xfId="0" applyFont="1" applyFill="1" applyBorder="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8" fillId="16" borderId="16" xfId="0" applyFont="1" applyFill="1" applyBorder="1" applyAlignment="1">
      <alignment horizontal="center"/>
    </xf>
    <xf numFmtId="0" fontId="8" fillId="16" borderId="20" xfId="0" applyFont="1" applyFill="1" applyBorder="1" applyAlignment="1">
      <alignment horizontal="center"/>
    </xf>
    <xf numFmtId="0" fontId="8" fillId="16" borderId="21" xfId="0" applyFont="1" applyFill="1" applyBorder="1" applyAlignment="1">
      <alignment horizontal="center"/>
    </xf>
    <xf numFmtId="9" fontId="22" fillId="7" borderId="10" xfId="2" applyFont="1" applyFill="1" applyBorder="1" applyAlignment="1">
      <alignment horizontal="center" vertical="center" wrapText="1"/>
    </xf>
    <xf numFmtId="9" fontId="22" fillId="7" borderId="11" xfId="2" applyFont="1" applyFill="1" applyBorder="1" applyAlignment="1">
      <alignment horizontal="center" vertical="center" wrapText="1"/>
    </xf>
    <xf numFmtId="9" fontId="22" fillId="7" borderId="12" xfId="2" applyFont="1" applyFill="1" applyBorder="1" applyAlignment="1">
      <alignment horizontal="center" vertical="center" wrapText="1"/>
    </xf>
    <xf numFmtId="0" fontId="8" fillId="3" borderId="4" xfId="0" applyFont="1" applyFill="1" applyBorder="1" applyAlignment="1">
      <alignment horizontal="center" wrapText="1"/>
    </xf>
    <xf numFmtId="0" fontId="27" fillId="3" borderId="5" xfId="0" applyFont="1" applyFill="1" applyBorder="1" applyAlignment="1">
      <alignment horizontal="center" wrapText="1"/>
    </xf>
    <xf numFmtId="0" fontId="27" fillId="3" borderId="8" xfId="0" applyFont="1" applyFill="1" applyBorder="1" applyAlignment="1">
      <alignment horizontal="center" wrapText="1"/>
    </xf>
    <xf numFmtId="0" fontId="27" fillId="3" borderId="9" xfId="0" applyFont="1" applyFill="1" applyBorder="1" applyAlignment="1">
      <alignment horizontal="center" wrapText="1"/>
    </xf>
    <xf numFmtId="0" fontId="23" fillId="13" borderId="17" xfId="0" applyFont="1" applyFill="1" applyBorder="1" applyAlignment="1">
      <alignment horizontal="left" vertical="top" wrapText="1"/>
    </xf>
    <xf numFmtId="0" fontId="24" fillId="13" borderId="18" xfId="0" applyFont="1" applyFill="1" applyBorder="1" applyAlignment="1">
      <alignment horizontal="left" vertical="top" wrapText="1"/>
    </xf>
    <xf numFmtId="0" fontId="24" fillId="13" borderId="19" xfId="0" applyFont="1" applyFill="1" applyBorder="1" applyAlignment="1">
      <alignment horizontal="left" vertical="top" wrapText="1"/>
    </xf>
    <xf numFmtId="0" fontId="29" fillId="14" borderId="16" xfId="0" applyFont="1" applyFill="1" applyBorder="1" applyAlignment="1">
      <alignment horizontal="center"/>
    </xf>
    <xf numFmtId="0" fontId="29" fillId="14" borderId="20" xfId="0" applyFont="1" applyFill="1" applyBorder="1" applyAlignment="1">
      <alignment horizontal="center"/>
    </xf>
    <xf numFmtId="0" fontId="29" fillId="14" borderId="21" xfId="0" applyFont="1" applyFill="1" applyBorder="1" applyAlignment="1">
      <alignment horizontal="center"/>
    </xf>
    <xf numFmtId="0" fontId="8" fillId="14" borderId="16" xfId="0" applyFont="1" applyFill="1" applyBorder="1" applyAlignment="1">
      <alignment horizontal="center"/>
    </xf>
    <xf numFmtId="0" fontId="8" fillId="14" borderId="20" xfId="0" applyFont="1" applyFill="1" applyBorder="1" applyAlignment="1">
      <alignment horizontal="center"/>
    </xf>
    <xf numFmtId="0" fontId="8" fillId="14" borderId="21" xfId="0" applyFont="1" applyFill="1" applyBorder="1" applyAlignment="1">
      <alignment horizontal="center"/>
    </xf>
    <xf numFmtId="0" fontId="26" fillId="14" borderId="6" xfId="5" applyFont="1" applyFill="1" applyBorder="1" applyAlignment="1">
      <alignment horizontal="left" vertical="center" wrapText="1"/>
    </xf>
    <xf numFmtId="0" fontId="26" fillId="14" borderId="0" xfId="5" applyFont="1" applyFill="1" applyBorder="1" applyAlignment="1">
      <alignment horizontal="left" vertical="center" wrapText="1"/>
    </xf>
    <xf numFmtId="0" fontId="26" fillId="14" borderId="7" xfId="5" applyFont="1" applyFill="1" applyBorder="1" applyAlignment="1">
      <alignment horizontal="left" vertical="center" wrapText="1"/>
    </xf>
    <xf numFmtId="0" fontId="26" fillId="14" borderId="8" xfId="5" applyFont="1" applyFill="1" applyBorder="1" applyAlignment="1">
      <alignment horizontal="left" vertical="center" wrapText="1"/>
    </xf>
    <xf numFmtId="0" fontId="26" fillId="14" borderId="1" xfId="5" applyFont="1" applyFill="1" applyBorder="1" applyAlignment="1">
      <alignment horizontal="left" vertical="center" wrapText="1"/>
    </xf>
    <xf numFmtId="0" fontId="26" fillId="14" borderId="9" xfId="5" applyFont="1" applyFill="1" applyBorder="1" applyAlignment="1">
      <alignment horizontal="left" vertical="center" wrapText="1"/>
    </xf>
    <xf numFmtId="0" fontId="8" fillId="15" borderId="16" xfId="0" applyFont="1" applyFill="1" applyBorder="1" applyAlignment="1">
      <alignment horizontal="center"/>
    </xf>
    <xf numFmtId="0" fontId="8" fillId="15" borderId="20" xfId="0" applyFont="1" applyFill="1" applyBorder="1" applyAlignment="1">
      <alignment horizontal="center"/>
    </xf>
    <xf numFmtId="0" fontId="8" fillId="15" borderId="21" xfId="0" applyFont="1" applyFill="1" applyBorder="1" applyAlignment="1">
      <alignment horizontal="center"/>
    </xf>
    <xf numFmtId="9" fontId="22" fillId="15" borderId="10" xfId="2" applyFont="1" applyFill="1" applyBorder="1" applyAlignment="1">
      <alignment horizontal="center" vertical="center" wrapText="1"/>
    </xf>
    <xf numFmtId="9" fontId="22" fillId="15" borderId="11" xfId="2" applyFont="1" applyFill="1" applyBorder="1" applyAlignment="1">
      <alignment horizontal="center" vertical="center" wrapText="1"/>
    </xf>
    <xf numFmtId="9" fontId="22" fillId="15" borderId="12" xfId="2" applyFont="1" applyFill="1" applyBorder="1" applyAlignment="1">
      <alignment horizontal="center" vertical="center" wrapText="1"/>
    </xf>
    <xf numFmtId="0" fontId="18" fillId="14" borderId="6" xfId="0" applyFont="1" applyFill="1" applyBorder="1" applyAlignment="1">
      <alignment horizontal="left" vertical="center"/>
    </xf>
    <xf numFmtId="0" fontId="34" fillId="14" borderId="0" xfId="0" applyFont="1" applyFill="1" applyAlignment="1">
      <alignment horizontal="left" vertical="center"/>
    </xf>
    <xf numFmtId="0" fontId="34" fillId="14" borderId="7" xfId="0" applyFont="1" applyFill="1" applyBorder="1" applyAlignment="1">
      <alignment horizontal="left" vertical="center"/>
    </xf>
    <xf numFmtId="0" fontId="8" fillId="14" borderId="16" xfId="0" applyFont="1" applyFill="1" applyBorder="1" applyAlignment="1">
      <alignment horizontal="center" vertical="center"/>
    </xf>
    <xf numFmtId="0" fontId="8" fillId="14" borderId="20" xfId="0" applyFont="1" applyFill="1" applyBorder="1" applyAlignment="1">
      <alignment horizontal="center" vertical="center"/>
    </xf>
    <xf numFmtId="0" fontId="8" fillId="14" borderId="21" xfId="0" applyFont="1" applyFill="1" applyBorder="1" applyAlignment="1">
      <alignment horizontal="center" vertical="center"/>
    </xf>
    <xf numFmtId="0" fontId="8" fillId="14" borderId="4" xfId="0" applyFont="1" applyFill="1" applyBorder="1" applyAlignment="1">
      <alignment horizontal="left" vertical="center" wrapText="1"/>
    </xf>
    <xf numFmtId="0" fontId="27" fillId="14" borderId="2" xfId="0" applyFont="1" applyFill="1" applyBorder="1" applyAlignment="1">
      <alignment horizontal="left" vertical="center" wrapText="1"/>
    </xf>
    <xf numFmtId="0" fontId="8" fillId="14" borderId="8" xfId="0" applyFont="1" applyFill="1" applyBorder="1" applyAlignment="1">
      <alignment horizontal="left" vertical="center" wrapText="1"/>
    </xf>
    <xf numFmtId="0" fontId="27" fillId="14" borderId="1" xfId="0" applyFont="1" applyFill="1" applyBorder="1" applyAlignment="1">
      <alignment horizontal="left" vertical="center" wrapText="1"/>
    </xf>
    <xf numFmtId="0" fontId="8" fillId="14" borderId="6" xfId="0" applyFont="1" applyFill="1" applyBorder="1" applyAlignment="1">
      <alignment horizontal="left" vertical="center"/>
    </xf>
    <xf numFmtId="0" fontId="27" fillId="14" borderId="0" xfId="0" applyFont="1" applyFill="1" applyAlignment="1">
      <alignment horizontal="left" vertical="center"/>
    </xf>
    <xf numFmtId="0" fontId="27" fillId="14" borderId="7" xfId="0" applyFont="1" applyFill="1" applyBorder="1" applyAlignment="1">
      <alignment horizontal="left" vertical="center"/>
    </xf>
    <xf numFmtId="0" fontId="8" fillId="5" borderId="13" xfId="0" applyFont="1" applyFill="1" applyBorder="1" applyAlignment="1">
      <alignment horizontal="left" vertical="center"/>
    </xf>
    <xf numFmtId="0" fontId="27" fillId="5" borderId="0" xfId="0" applyFont="1" applyFill="1" applyAlignment="1">
      <alignment horizontal="left" vertical="center"/>
    </xf>
    <xf numFmtId="182" fontId="8" fillId="14" borderId="0" xfId="6" quotePrefix="1" applyNumberFormat="1" applyFont="1" applyBorder="1" applyAlignment="1">
      <alignment horizontal="left" vertical="center"/>
    </xf>
    <xf numFmtId="182" fontId="27" fillId="14" borderId="0" xfId="6" quotePrefix="1" applyNumberFormat="1" applyFont="1" applyBorder="1" applyAlignment="1">
      <alignment horizontal="left" vertical="center"/>
    </xf>
    <xf numFmtId="183" fontId="8" fillId="14" borderId="0" xfId="6" applyNumberFormat="1" applyFont="1" applyBorder="1" applyAlignment="1">
      <alignment horizontal="center" vertical="center"/>
    </xf>
    <xf numFmtId="183" fontId="27" fillId="14" borderId="25" xfId="6" applyNumberFormat="1" applyFont="1" applyBorder="1" applyAlignment="1">
      <alignment horizontal="center" vertical="center"/>
    </xf>
    <xf numFmtId="0" fontId="8" fillId="14" borderId="8" xfId="0" applyFont="1" applyFill="1" applyBorder="1" applyAlignment="1">
      <alignment horizontal="left" vertical="center"/>
    </xf>
    <xf numFmtId="0" fontId="27" fillId="14" borderId="1" xfId="0" applyFont="1" applyFill="1" applyBorder="1" applyAlignment="1">
      <alignment horizontal="left" vertical="center"/>
    </xf>
    <xf numFmtId="0" fontId="27" fillId="14" borderId="9" xfId="0" applyFont="1" applyFill="1" applyBorder="1" applyAlignment="1">
      <alignment horizontal="left" vertical="center"/>
    </xf>
    <xf numFmtId="0" fontId="8" fillId="5" borderId="16" xfId="0" applyFont="1" applyFill="1" applyBorder="1" applyAlignment="1">
      <alignment horizontal="left" vertical="center" wrapText="1"/>
    </xf>
    <xf numFmtId="0" fontId="27" fillId="5" borderId="20" xfId="0" applyFont="1" applyFill="1" applyBorder="1" applyAlignment="1">
      <alignment horizontal="left" vertical="center" wrapText="1"/>
    </xf>
    <xf numFmtId="0" fontId="8" fillId="14" borderId="31" xfId="0" applyFont="1" applyFill="1" applyBorder="1" applyAlignment="1">
      <alignment horizontal="center" vertical="center"/>
    </xf>
    <xf numFmtId="0" fontId="8" fillId="14" borderId="32" xfId="0" applyFont="1" applyFill="1" applyBorder="1" applyAlignment="1">
      <alignment horizontal="center" vertical="center"/>
    </xf>
    <xf numFmtId="169" fontId="8" fillId="14" borderId="18" xfId="6" applyNumberFormat="1" applyFont="1" applyBorder="1" applyAlignment="1">
      <alignment horizontal="center"/>
    </xf>
    <xf numFmtId="169" fontId="27" fillId="14" borderId="19" xfId="6" applyNumberFormat="1" applyFont="1" applyBorder="1" applyAlignment="1">
      <alignment horizontal="center"/>
    </xf>
    <xf numFmtId="0" fontId="8" fillId="5" borderId="17" xfId="0" applyFont="1" applyFill="1" applyBorder="1" applyAlignment="1">
      <alignment horizontal="left" vertical="center"/>
    </xf>
    <xf numFmtId="0" fontId="27" fillId="5" borderId="18" xfId="0" applyFont="1" applyFill="1" applyBorder="1" applyAlignment="1">
      <alignment horizontal="left" vertical="center"/>
    </xf>
    <xf numFmtId="169" fontId="8" fillId="14" borderId="0" xfId="6" quotePrefix="1" applyNumberFormat="1" applyFont="1" applyBorder="1" applyAlignment="1">
      <alignment horizontal="left" vertical="center"/>
    </xf>
    <xf numFmtId="169" fontId="27" fillId="14" borderId="0" xfId="6" quotePrefix="1" applyNumberFormat="1" applyFont="1" applyBorder="1" applyAlignment="1">
      <alignment horizontal="left" vertical="center"/>
    </xf>
    <xf numFmtId="180" fontId="8" fillId="14" borderId="0" xfId="6" applyNumberFormat="1" applyFont="1" applyBorder="1" applyAlignment="1">
      <alignment horizontal="center" vertical="center"/>
    </xf>
    <xf numFmtId="180" fontId="27" fillId="14" borderId="25" xfId="6" applyNumberFormat="1" applyFont="1" applyBorder="1" applyAlignment="1">
      <alignment horizontal="center" vertical="center"/>
    </xf>
    <xf numFmtId="4" fontId="8" fillId="14" borderId="0" xfId="6" quotePrefix="1" applyNumberFormat="1" applyFont="1" applyBorder="1" applyAlignment="1">
      <alignment horizontal="left" vertical="center"/>
    </xf>
    <xf numFmtId="4" fontId="27" fillId="14" borderId="0" xfId="6" quotePrefix="1" applyNumberFormat="1" applyFont="1" applyBorder="1" applyAlignment="1">
      <alignment horizontal="left" vertical="center"/>
    </xf>
    <xf numFmtId="176" fontId="8" fillId="14" borderId="0" xfId="6" applyNumberFormat="1" applyFont="1" applyBorder="1" applyAlignment="1">
      <alignment horizontal="center" vertical="center"/>
    </xf>
    <xf numFmtId="176" fontId="27" fillId="14" borderId="25" xfId="6" applyNumberFormat="1" applyFont="1" applyBorder="1" applyAlignment="1">
      <alignment horizontal="center" vertical="center"/>
    </xf>
    <xf numFmtId="0" fontId="8" fillId="14" borderId="17" xfId="0" applyFont="1" applyFill="1" applyBorder="1" applyAlignment="1">
      <alignment horizontal="left"/>
    </xf>
    <xf numFmtId="0" fontId="27" fillId="14" borderId="18" xfId="0" applyFont="1" applyFill="1" applyBorder="1" applyAlignment="1">
      <alignment horizontal="left"/>
    </xf>
    <xf numFmtId="2" fontId="8" fillId="14" borderId="0" xfId="6" quotePrefix="1" applyNumberFormat="1" applyFont="1" applyBorder="1" applyAlignment="1">
      <alignment horizontal="left" vertical="center" shrinkToFit="1"/>
    </xf>
    <xf numFmtId="2" fontId="27" fillId="14" borderId="0" xfId="6" quotePrefix="1" applyNumberFormat="1" applyFont="1" applyBorder="1" applyAlignment="1">
      <alignment horizontal="left" vertical="center" shrinkToFit="1"/>
    </xf>
    <xf numFmtId="10" fontId="8" fillId="5" borderId="13" xfId="2" applyNumberFormat="1" applyFont="1" applyFill="1" applyBorder="1" applyAlignment="1">
      <alignment horizontal="left" vertical="center"/>
    </xf>
    <xf numFmtId="10" fontId="27" fillId="5" borderId="0" xfId="2" applyNumberFormat="1" applyFont="1" applyFill="1" applyBorder="1" applyAlignment="1">
      <alignment horizontal="left" vertical="center"/>
    </xf>
  </cellXfs>
  <cellStyles count="9">
    <cellStyle name="20% - Accent5" xfId="8" builtinId="46"/>
    <cellStyle name="Comma" xfId="1" builtinId="3"/>
    <cellStyle name="Fill" xfId="4" xr:uid="{5C837A4C-2EC0-4A30-975B-EBCD6EC1728A}"/>
    <cellStyle name="No fill" xfId="7" xr:uid="{5C3B0C20-AB75-4303-B879-F1E3C0D422A3}"/>
    <cellStyle name="Normal" xfId="0" builtinId="0"/>
    <cellStyle name="Normal 2" xfId="3" xr:uid="{876CFD0D-43D5-47E5-AA73-5DC7DC10399D}"/>
    <cellStyle name="Percent" xfId="2" builtinId="5"/>
    <cellStyle name="TK hdg 1" xfId="5" xr:uid="{6F8ED46D-9C91-411A-A281-F2ABF97632FF}"/>
    <cellStyle name="Yellow fill" xfId="6" xr:uid="{0DF06BBF-01EE-42DE-83FC-6A514B32359E}"/>
  </cellStyles>
  <dxfs count="0"/>
  <tableStyles count="0" defaultTableStyle="TableStyleMedium2" defaultPivotStyle="PivotStyleLight16"/>
  <colors>
    <mruColors>
      <color rgb="FF3A06F8"/>
      <color rgb="FFFD31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557442323192188"/>
          <c:y val="0.10276679229904778"/>
          <c:w val="0.710697421236408"/>
          <c:h val="0.75264417918268034"/>
        </c:manualLayout>
      </c:layout>
      <c:scatterChart>
        <c:scatterStyle val="lineMarker"/>
        <c:varyColors val="0"/>
        <c:ser>
          <c:idx val="0"/>
          <c:order val="0"/>
          <c:tx>
            <c:strRef>
              <c:f>'Sensitivity Analysis'!$D$28</c:f>
              <c:strCache>
                <c:ptCount val="1"/>
                <c:pt idx="0">
                  <c:v>Price</c:v>
                </c:pt>
              </c:strCache>
            </c:strRef>
          </c:tx>
          <c:spPr>
            <a:ln>
              <a:solidFill>
                <a:srgbClr val="3A06F8"/>
              </a:solidFill>
            </a:ln>
          </c:spPr>
          <c:marker>
            <c:symbol val="none"/>
          </c:marker>
          <c:dLbls>
            <c:dLbl>
              <c:idx val="2"/>
              <c:layout>
                <c:manualLayout>
                  <c:x val="-6.5981246041670064E-2"/>
                  <c:y val="-3.4835186181228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A49-4D12-B3DC-11C82EAF899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xVal>
            <c:numRef>
              <c:f>'Sensitivity Analysis'!$B$29:$B$31</c:f>
              <c:numCache>
                <c:formatCode>0%;"−"0%</c:formatCode>
                <c:ptCount val="3"/>
                <c:pt idx="0">
                  <c:v>-0.3</c:v>
                </c:pt>
                <c:pt idx="1">
                  <c:v>0</c:v>
                </c:pt>
                <c:pt idx="2">
                  <c:v>0.3</c:v>
                </c:pt>
              </c:numCache>
            </c:numRef>
          </c:xVal>
          <c:yVal>
            <c:numRef>
              <c:f>'Sensitivity Analysis'!$D$29:$D$31</c:f>
              <c:numCache>
                <c:formatCode>"$"#,##0;"−""$"#,##0</c:formatCode>
                <c:ptCount val="3"/>
                <c:pt idx="0">
                  <c:v>253636.02200798021</c:v>
                </c:pt>
                <c:pt idx="1">
                  <c:v>584675.93925102276</c:v>
                </c:pt>
                <c:pt idx="2">
                  <c:v>915715.85649406491</c:v>
                </c:pt>
              </c:numCache>
            </c:numRef>
          </c:yVal>
          <c:smooth val="0"/>
          <c:extLst>
            <c:ext xmlns:c16="http://schemas.microsoft.com/office/drawing/2014/chart" uri="{C3380CC4-5D6E-409C-BE32-E72D297353CC}">
              <c16:uniqueId val="{00000001-1A49-4D12-B3DC-11C82EAF8991}"/>
            </c:ext>
          </c:extLst>
        </c:ser>
        <c:ser>
          <c:idx val="1"/>
          <c:order val="1"/>
          <c:tx>
            <c:strRef>
              <c:f>'Sensitivity Analysis'!$E$28</c:f>
              <c:strCache>
                <c:ptCount val="1"/>
                <c:pt idx="0">
                  <c:v>Sales (Students)</c:v>
                </c:pt>
              </c:strCache>
            </c:strRef>
          </c:tx>
          <c:marker>
            <c:symbol val="none"/>
          </c:marker>
          <c:dPt>
            <c:idx val="1"/>
            <c:bubble3D val="0"/>
            <c:spPr>
              <a:ln>
                <a:solidFill>
                  <a:schemeClr val="accent6">
                    <a:lumMod val="60000"/>
                    <a:lumOff val="40000"/>
                  </a:schemeClr>
                </a:solidFill>
              </a:ln>
            </c:spPr>
            <c:extLst>
              <c:ext xmlns:c16="http://schemas.microsoft.com/office/drawing/2014/chart" uri="{C3380CC4-5D6E-409C-BE32-E72D297353CC}">
                <c16:uniqueId val="{00000008-1A49-4D12-B3DC-11C82EAF8991}"/>
              </c:ext>
            </c:extLst>
          </c:dPt>
          <c:dPt>
            <c:idx val="2"/>
            <c:bubble3D val="0"/>
            <c:spPr>
              <a:ln>
                <a:solidFill>
                  <a:schemeClr val="accent6">
                    <a:lumMod val="60000"/>
                    <a:lumOff val="40000"/>
                  </a:schemeClr>
                </a:solidFill>
              </a:ln>
            </c:spPr>
            <c:extLst>
              <c:ext xmlns:c16="http://schemas.microsoft.com/office/drawing/2014/chart" uri="{C3380CC4-5D6E-409C-BE32-E72D297353CC}">
                <c16:uniqueId val="{00000002-1A49-4D12-B3DC-11C82EAF8991}"/>
              </c:ext>
            </c:extLst>
          </c:dPt>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49-4D12-B3DC-11C82EAF899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xVal>
            <c:numRef>
              <c:f>'Sensitivity Analysis'!$B$29:$B$31</c:f>
              <c:numCache>
                <c:formatCode>0%;"−"0%</c:formatCode>
                <c:ptCount val="3"/>
                <c:pt idx="0">
                  <c:v>-0.3</c:v>
                </c:pt>
                <c:pt idx="1">
                  <c:v>0</c:v>
                </c:pt>
                <c:pt idx="2">
                  <c:v>0.3</c:v>
                </c:pt>
              </c:numCache>
            </c:numRef>
          </c:xVal>
          <c:yVal>
            <c:numRef>
              <c:f>'Sensitivity Analysis'!$E$29:$E$31</c:f>
              <c:numCache>
                <c:formatCode>"$"#,##0;"−""$"#,##0</c:formatCode>
                <c:ptCount val="3"/>
                <c:pt idx="0">
                  <c:v>258038.390827842</c:v>
                </c:pt>
                <c:pt idx="1">
                  <c:v>584675.93925102276</c:v>
                </c:pt>
                <c:pt idx="2">
                  <c:v>911313.48767420312</c:v>
                </c:pt>
              </c:numCache>
            </c:numRef>
          </c:yVal>
          <c:smooth val="0"/>
          <c:extLst>
            <c:ext xmlns:c16="http://schemas.microsoft.com/office/drawing/2014/chart" uri="{C3380CC4-5D6E-409C-BE32-E72D297353CC}">
              <c16:uniqueId val="{00000003-1A49-4D12-B3DC-11C82EAF8991}"/>
            </c:ext>
          </c:extLst>
        </c:ser>
        <c:ser>
          <c:idx val="2"/>
          <c:order val="2"/>
          <c:tx>
            <c:strRef>
              <c:f>'Sensitivity Analysis'!$F$28</c:f>
              <c:strCache>
                <c:ptCount val="1"/>
                <c:pt idx="0">
                  <c:v>VC/API per Student</c:v>
                </c:pt>
              </c:strCache>
            </c:strRef>
          </c:tx>
          <c:spPr>
            <a:ln>
              <a:solidFill>
                <a:srgbClr val="FD310F"/>
              </a:solidFill>
            </a:ln>
          </c:spPr>
          <c:marker>
            <c:symbol val="none"/>
          </c:marker>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49-4D12-B3DC-11C82EAF899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xVal>
            <c:numRef>
              <c:f>'Sensitivity Analysis'!$B$29:$B$31</c:f>
              <c:numCache>
                <c:formatCode>0%;"−"0%</c:formatCode>
                <c:ptCount val="3"/>
                <c:pt idx="0">
                  <c:v>-0.3</c:v>
                </c:pt>
                <c:pt idx="1">
                  <c:v>0</c:v>
                </c:pt>
                <c:pt idx="2">
                  <c:v>0.3</c:v>
                </c:pt>
              </c:numCache>
            </c:numRef>
          </c:xVal>
          <c:yVal>
            <c:numRef>
              <c:f>'Sensitivity Analysis'!$F$29:$F$31</c:f>
              <c:numCache>
                <c:formatCode>"$"#,##0;"−""$"#,##0</c:formatCode>
                <c:ptCount val="3"/>
                <c:pt idx="0">
                  <c:v>589078.30807088432</c:v>
                </c:pt>
                <c:pt idx="1">
                  <c:v>584675.93925102276</c:v>
                </c:pt>
                <c:pt idx="2">
                  <c:v>580273.57043116121</c:v>
                </c:pt>
              </c:numCache>
            </c:numRef>
          </c:yVal>
          <c:smooth val="0"/>
          <c:extLst>
            <c:ext xmlns:c16="http://schemas.microsoft.com/office/drawing/2014/chart" uri="{C3380CC4-5D6E-409C-BE32-E72D297353CC}">
              <c16:uniqueId val="{00000005-1A49-4D12-B3DC-11C82EAF8991}"/>
            </c:ext>
          </c:extLst>
        </c:ser>
        <c:ser>
          <c:idx val="4"/>
          <c:order val="3"/>
          <c:tx>
            <c:strRef>
              <c:f>'Sensitivity Analysis'!$C$28</c:f>
              <c:strCache>
                <c:ptCount val="1"/>
                <c:pt idx="0">
                  <c:v>Equip.</c:v>
                </c:pt>
              </c:strCache>
            </c:strRef>
          </c:tx>
          <c:spPr>
            <a:ln>
              <a:solidFill>
                <a:schemeClr val="tx2">
                  <a:lumMod val="90000"/>
                  <a:lumOff val="10000"/>
                </a:schemeClr>
              </a:solidFill>
            </a:ln>
          </c:spPr>
          <c:marker>
            <c:symbol val="none"/>
          </c:marker>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A49-4D12-B3DC-11C82EAF899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xVal>
            <c:numRef>
              <c:f>'Sensitivity Analysis'!$B$29:$B$31</c:f>
              <c:numCache>
                <c:formatCode>0%;"−"0%</c:formatCode>
                <c:ptCount val="3"/>
                <c:pt idx="0">
                  <c:v>-0.3</c:v>
                </c:pt>
                <c:pt idx="1">
                  <c:v>0</c:v>
                </c:pt>
                <c:pt idx="2">
                  <c:v>0.3</c:v>
                </c:pt>
              </c:numCache>
            </c:numRef>
          </c:xVal>
          <c:yVal>
            <c:numRef>
              <c:f>'Sensitivity Analysis'!$C$29:$C$31</c:f>
              <c:numCache>
                <c:formatCode>"$"#,##0;"−""$"#,##0</c:formatCode>
                <c:ptCount val="3"/>
                <c:pt idx="0">
                  <c:v>618738.7121400527</c:v>
                </c:pt>
                <c:pt idx="1">
                  <c:v>584675.93925102276</c:v>
                </c:pt>
                <c:pt idx="2">
                  <c:v>550613.16636199271</c:v>
                </c:pt>
              </c:numCache>
            </c:numRef>
          </c:yVal>
          <c:smooth val="0"/>
          <c:extLst>
            <c:ext xmlns:c16="http://schemas.microsoft.com/office/drawing/2014/chart" uri="{C3380CC4-5D6E-409C-BE32-E72D297353CC}">
              <c16:uniqueId val="{00000007-1A49-4D12-B3DC-11C82EAF8991}"/>
            </c:ext>
          </c:extLst>
        </c:ser>
        <c:dLbls>
          <c:showLegendKey val="0"/>
          <c:showVal val="0"/>
          <c:showCatName val="0"/>
          <c:showSerName val="0"/>
          <c:showPercent val="0"/>
          <c:showBubbleSize val="0"/>
        </c:dLbls>
        <c:axId val="371467008"/>
        <c:axId val="371467400"/>
      </c:scatterChart>
      <c:valAx>
        <c:axId val="371467008"/>
        <c:scaling>
          <c:orientation val="minMax"/>
          <c:max val="0.30000000000000004"/>
          <c:min val="-0.30000000000000004"/>
        </c:scaling>
        <c:delete val="0"/>
        <c:axPos val="b"/>
        <c:title>
          <c:tx>
            <c:rich>
              <a:bodyPr/>
              <a:lstStyle/>
              <a:p>
                <a:pPr>
                  <a:defRPr sz="800" b="1" i="0" u="none" strike="noStrike" baseline="0">
                    <a:solidFill>
                      <a:srgbClr val="000000"/>
                    </a:solidFill>
                    <a:latin typeface="Cambria" pitchFamily="18" charset="0"/>
                    <a:ea typeface="Times New Roman"/>
                    <a:cs typeface="Arial" pitchFamily="34" charset="0"/>
                  </a:defRPr>
                </a:pPr>
                <a:r>
                  <a:rPr lang="en-US" sz="800">
                    <a:latin typeface="Cambria" pitchFamily="18" charset="0"/>
                    <a:cs typeface="Arial" pitchFamily="34" charset="0"/>
                  </a:rPr>
                  <a:t>% Deviation from Base</a:t>
                </a:r>
              </a:p>
            </c:rich>
          </c:tx>
          <c:layout>
            <c:manualLayout>
              <c:xMode val="edge"/>
              <c:yMode val="edge"/>
              <c:x val="0.65577948326079782"/>
              <c:y val="0.94958068702950593"/>
            </c:manualLayout>
          </c:layout>
          <c:overlay val="0"/>
          <c:spPr>
            <a:noFill/>
            <a:ln w="25400">
              <a:noFill/>
            </a:ln>
          </c:spPr>
        </c:title>
        <c:numFmt formatCode="0%;&quot;−&quot;0%" sourceLinked="1"/>
        <c:majorTickMark val="out"/>
        <c:minorTickMark val="none"/>
        <c:tickLblPos val="low"/>
        <c:spPr>
          <a:ln w="12700">
            <a:solidFill>
              <a:schemeClr val="tx1"/>
            </a:solidFill>
            <a:prstDash val="solid"/>
          </a:ln>
        </c:spPr>
        <c:txPr>
          <a:bodyPr rot="0" vert="horz"/>
          <a:lstStyle/>
          <a:p>
            <a:pPr>
              <a:defRPr sz="800" b="1" i="0" u="none" strike="noStrike" baseline="0">
                <a:solidFill>
                  <a:srgbClr val="333333"/>
                </a:solidFill>
                <a:latin typeface="Cambria" pitchFamily="18" charset="0"/>
                <a:ea typeface="Times New Roman"/>
                <a:cs typeface="Arial" pitchFamily="34" charset="0"/>
              </a:defRPr>
            </a:pPr>
            <a:endParaRPr lang="en-US"/>
          </a:p>
        </c:txPr>
        <c:crossAx val="371467400"/>
        <c:crossesAt val="-15000"/>
        <c:crossBetween val="midCat"/>
        <c:majorUnit val="0.15000000000000024"/>
        <c:minorUnit val="0.05"/>
      </c:valAx>
      <c:valAx>
        <c:axId val="371467400"/>
        <c:scaling>
          <c:orientation val="minMax"/>
        </c:scaling>
        <c:delete val="0"/>
        <c:axPos val="l"/>
        <c:title>
          <c:tx>
            <c:rich>
              <a:bodyPr rot="0" vert="horz"/>
              <a:lstStyle/>
              <a:p>
                <a:pPr algn="ctr">
                  <a:defRPr sz="800" b="1" i="0" u="none" strike="noStrike" baseline="0">
                    <a:solidFill>
                      <a:srgbClr val="000000"/>
                    </a:solidFill>
                    <a:latin typeface="Cambria" pitchFamily="18" charset="0"/>
                    <a:ea typeface="Times New Roman"/>
                    <a:cs typeface="Arial" pitchFamily="34" charset="0"/>
                  </a:defRPr>
                </a:pPr>
                <a:r>
                  <a:rPr lang="en-US" sz="800">
                    <a:latin typeface="Cambria" pitchFamily="18" charset="0"/>
                    <a:cs typeface="Arial" pitchFamily="34" charset="0"/>
                  </a:rPr>
                  <a:t>NPV ($)</a:t>
                </a:r>
              </a:p>
            </c:rich>
          </c:tx>
          <c:layout>
            <c:manualLayout>
              <c:xMode val="edge"/>
              <c:yMode val="edge"/>
              <c:x val="6.1728611084108535E-2"/>
              <c:y val="1.0964912280701754E-2"/>
            </c:manualLayout>
          </c:layout>
          <c:overlay val="0"/>
          <c:spPr>
            <a:noFill/>
            <a:ln w="25400">
              <a:noFill/>
            </a:ln>
          </c:spPr>
        </c:title>
        <c:numFmt formatCode="&quot;$&quot;#,##0;&quot;−&quot;&quot;$&quot;#,##0" sourceLinked="1"/>
        <c:majorTickMark val="out"/>
        <c:minorTickMark val="none"/>
        <c:tickLblPos val="nextTo"/>
        <c:spPr>
          <a:ln w="12700">
            <a:solidFill>
              <a:schemeClr val="tx1"/>
            </a:solidFill>
            <a:prstDash val="solid"/>
          </a:ln>
        </c:spPr>
        <c:txPr>
          <a:bodyPr rot="0" vert="horz"/>
          <a:lstStyle/>
          <a:p>
            <a:pPr>
              <a:defRPr sz="800" b="1" i="0" u="none" strike="noStrike" baseline="0">
                <a:solidFill>
                  <a:srgbClr val="000000"/>
                </a:solidFill>
                <a:latin typeface="Cambria" pitchFamily="18" charset="0"/>
                <a:ea typeface="Times New Roman"/>
                <a:cs typeface="Arial" pitchFamily="34" charset="0"/>
              </a:defRPr>
            </a:pPr>
            <a:endParaRPr lang="en-US"/>
          </a:p>
        </c:txPr>
        <c:crossAx val="371467008"/>
        <c:crossesAt val="-0.45"/>
        <c:crossBetween val="midCat"/>
      </c:valAx>
      <c:spPr>
        <a:solidFill>
          <a:srgbClr val="FFFFCC"/>
        </a:solidFill>
        <a:ln w="19050">
          <a:noFill/>
          <a:prstDash val="solid"/>
        </a:ln>
      </c:spPr>
    </c:plotArea>
    <c:plotVisOnly val="1"/>
    <c:dispBlanksAs val="gap"/>
    <c:showDLblsOverMax val="0"/>
  </c:chart>
  <c:spPr>
    <a:solidFill>
      <a:srgbClr val="FFFFCC"/>
    </a:solidFill>
    <a:ln w="3175">
      <a:noFill/>
      <a:prstDash val="solid"/>
    </a:ln>
  </c:spPr>
  <c:txPr>
    <a:bodyPr/>
    <a:lstStyle/>
    <a:p>
      <a:pPr>
        <a:defRPr sz="975"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0222" r="0.75000000000000222"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89589925587372E-2"/>
          <c:y val="0.18867798783403947"/>
          <c:w val="0.83979729219529364"/>
          <c:h val="0.78715060175088081"/>
        </c:manualLayout>
      </c:layout>
      <c:scatterChart>
        <c:scatterStyle val="lineMarker"/>
        <c:varyColors val="0"/>
        <c:ser>
          <c:idx val="0"/>
          <c:order val="0"/>
          <c:tx>
            <c:strRef>
              <c:f>'Sensitivity Analysis'!$K$37</c:f>
              <c:strCache>
                <c:ptCount val="1"/>
                <c:pt idx="0">
                  <c:v>Price</c:v>
                </c:pt>
              </c:strCache>
            </c:strRef>
          </c:tx>
          <c:spPr>
            <a:ln>
              <a:solidFill>
                <a:srgbClr val="3A06F8"/>
              </a:solidFill>
            </a:ln>
          </c:spPr>
          <c:marker>
            <c:symbol val="none"/>
          </c:marker>
          <c:xVal>
            <c:numRef>
              <c:f>'Sensitivity Analysis'!$K$38:$K$40</c:f>
              <c:numCache>
                <c:formatCode>"$"#,##0;"−""$"#,##0</c:formatCode>
                <c:ptCount val="3"/>
                <c:pt idx="0">
                  <c:v>253636.02200798021</c:v>
                </c:pt>
                <c:pt idx="1">
                  <c:v>584675.93925102276</c:v>
                </c:pt>
                <c:pt idx="2">
                  <c:v>915715.85649406491</c:v>
                </c:pt>
              </c:numCache>
            </c:numRef>
          </c:xVal>
          <c:yVal>
            <c:numRef>
              <c:f>'Sensitivity Analysis'!$K$47:$K$49</c:f>
              <c:numCache>
                <c:formatCode>#,##0</c:formatCode>
                <c:ptCount val="3"/>
                <c:pt idx="0">
                  <c:v>4</c:v>
                </c:pt>
                <c:pt idx="1">
                  <c:v>4</c:v>
                </c:pt>
                <c:pt idx="2">
                  <c:v>4</c:v>
                </c:pt>
              </c:numCache>
            </c:numRef>
          </c:yVal>
          <c:smooth val="0"/>
          <c:extLst>
            <c:ext xmlns:c16="http://schemas.microsoft.com/office/drawing/2014/chart" uri="{C3380CC4-5D6E-409C-BE32-E72D297353CC}">
              <c16:uniqueId val="{00000001-6B18-465E-86E1-626BC8915761}"/>
            </c:ext>
          </c:extLst>
        </c:ser>
        <c:ser>
          <c:idx val="1"/>
          <c:order val="1"/>
          <c:tx>
            <c:strRef>
              <c:f>'Sensitivity Analysis'!$L$37</c:f>
              <c:strCache>
                <c:ptCount val="1"/>
                <c:pt idx="0">
                  <c:v>Units</c:v>
                </c:pt>
              </c:strCache>
            </c:strRef>
          </c:tx>
          <c:spPr>
            <a:ln>
              <a:solidFill>
                <a:schemeClr val="accent6">
                  <a:lumMod val="60000"/>
                  <a:lumOff val="40000"/>
                </a:schemeClr>
              </a:solidFill>
            </a:ln>
          </c:spPr>
          <c:marker>
            <c:symbol val="none"/>
          </c:marker>
          <c:xVal>
            <c:numRef>
              <c:f>'Sensitivity Analysis'!$L$38:$L$40</c:f>
              <c:numCache>
                <c:formatCode>"$"#,##0;"−""$"#,##0</c:formatCode>
                <c:ptCount val="3"/>
                <c:pt idx="0">
                  <c:v>258038.390827842</c:v>
                </c:pt>
                <c:pt idx="1">
                  <c:v>584675.93925102276</c:v>
                </c:pt>
                <c:pt idx="2">
                  <c:v>911313.48767420312</c:v>
                </c:pt>
              </c:numCache>
            </c:numRef>
          </c:xVal>
          <c:yVal>
            <c:numRef>
              <c:f>'Sensitivity Analysis'!$L$47:$L$49</c:f>
              <c:numCache>
                <c:formatCode>#,##0</c:formatCode>
                <c:ptCount val="3"/>
                <c:pt idx="0">
                  <c:v>3</c:v>
                </c:pt>
                <c:pt idx="1">
                  <c:v>3</c:v>
                </c:pt>
                <c:pt idx="2">
                  <c:v>3</c:v>
                </c:pt>
              </c:numCache>
            </c:numRef>
          </c:yVal>
          <c:smooth val="0"/>
          <c:extLst>
            <c:ext xmlns:c16="http://schemas.microsoft.com/office/drawing/2014/chart" uri="{C3380CC4-5D6E-409C-BE32-E72D297353CC}">
              <c16:uniqueId val="{00000003-6B18-465E-86E1-626BC8915761}"/>
            </c:ext>
          </c:extLst>
        </c:ser>
        <c:ser>
          <c:idx val="2"/>
          <c:order val="2"/>
          <c:tx>
            <c:strRef>
              <c:f>'Sensitivity Analysis'!$M$37</c:f>
              <c:strCache>
                <c:ptCount val="1"/>
                <c:pt idx="0">
                  <c:v>VC/Unit</c:v>
                </c:pt>
              </c:strCache>
            </c:strRef>
          </c:tx>
          <c:spPr>
            <a:ln>
              <a:solidFill>
                <a:srgbClr val="FD310F"/>
              </a:solidFill>
            </a:ln>
          </c:spPr>
          <c:marker>
            <c:symbol val="none"/>
          </c:marker>
          <c:xVal>
            <c:numRef>
              <c:f>'Sensitivity Analysis'!$M$38:$M$40</c:f>
              <c:numCache>
                <c:formatCode>"$"#,##0;"−""$"#,##0</c:formatCode>
                <c:ptCount val="3"/>
                <c:pt idx="0">
                  <c:v>589078.30807088432</c:v>
                </c:pt>
                <c:pt idx="1">
                  <c:v>584675.93925102276</c:v>
                </c:pt>
                <c:pt idx="2">
                  <c:v>580273.57043116121</c:v>
                </c:pt>
              </c:numCache>
            </c:numRef>
          </c:xVal>
          <c:yVal>
            <c:numRef>
              <c:f>'Sensitivity Analysis'!$M$47:$M$49</c:f>
              <c:numCache>
                <c:formatCode>#,##0</c:formatCode>
                <c:ptCount val="3"/>
                <c:pt idx="0">
                  <c:v>1</c:v>
                </c:pt>
                <c:pt idx="1">
                  <c:v>1</c:v>
                </c:pt>
                <c:pt idx="2">
                  <c:v>1</c:v>
                </c:pt>
              </c:numCache>
            </c:numRef>
          </c:yVal>
          <c:smooth val="0"/>
          <c:extLst>
            <c:ext xmlns:c16="http://schemas.microsoft.com/office/drawing/2014/chart" uri="{C3380CC4-5D6E-409C-BE32-E72D297353CC}">
              <c16:uniqueId val="{00000005-6B18-465E-86E1-626BC8915761}"/>
            </c:ext>
          </c:extLst>
        </c:ser>
        <c:ser>
          <c:idx val="4"/>
          <c:order val="3"/>
          <c:tx>
            <c:strRef>
              <c:f>'Sensitivity Analysis'!$J$37</c:f>
              <c:strCache>
                <c:ptCount val="1"/>
                <c:pt idx="0">
                  <c:v>Equip.</c:v>
                </c:pt>
              </c:strCache>
            </c:strRef>
          </c:tx>
          <c:spPr>
            <a:ln>
              <a:solidFill>
                <a:schemeClr val="tx2">
                  <a:lumMod val="90000"/>
                  <a:lumOff val="10000"/>
                </a:schemeClr>
              </a:solidFill>
            </a:ln>
          </c:spPr>
          <c:marker>
            <c:symbol val="none"/>
          </c:marker>
          <c:xVal>
            <c:numRef>
              <c:f>'Sensitivity Analysis'!$J$38:$J$40</c:f>
              <c:numCache>
                <c:formatCode>"$"#,##0;"−""$"#,##0</c:formatCode>
                <c:ptCount val="3"/>
                <c:pt idx="0">
                  <c:v>618738.7121400527</c:v>
                </c:pt>
                <c:pt idx="1">
                  <c:v>584675.93925102276</c:v>
                </c:pt>
                <c:pt idx="2">
                  <c:v>550613.16636199271</c:v>
                </c:pt>
              </c:numCache>
            </c:numRef>
          </c:xVal>
          <c:yVal>
            <c:numRef>
              <c:f>'Sensitivity Analysis'!$J$47:$J$49</c:f>
              <c:numCache>
                <c:formatCode>#,##0</c:formatCode>
                <c:ptCount val="3"/>
                <c:pt idx="0">
                  <c:v>2</c:v>
                </c:pt>
                <c:pt idx="1">
                  <c:v>2</c:v>
                </c:pt>
                <c:pt idx="2">
                  <c:v>2</c:v>
                </c:pt>
              </c:numCache>
            </c:numRef>
          </c:yVal>
          <c:smooth val="0"/>
          <c:extLst>
            <c:ext xmlns:c16="http://schemas.microsoft.com/office/drawing/2014/chart" uri="{C3380CC4-5D6E-409C-BE32-E72D297353CC}">
              <c16:uniqueId val="{00000007-6B18-465E-86E1-626BC8915761}"/>
            </c:ext>
          </c:extLst>
        </c:ser>
        <c:ser>
          <c:idx val="6"/>
          <c:order val="4"/>
          <c:tx>
            <c:strRef>
              <c:f>'Sensitivity Analysis'!$O$38</c:f>
              <c:strCache>
                <c:ptCount val="1"/>
                <c:pt idx="0">
                  <c:v>Base NPV =</c:v>
                </c:pt>
              </c:strCache>
            </c:strRef>
          </c:tx>
          <c:marker>
            <c:symbol val="none"/>
          </c:marker>
          <c:xVal>
            <c:numRef>
              <c:f>'Sensitivity Analysis'!$O$39:$O$41</c:f>
              <c:numCache>
                <c:formatCode>#,##0</c:formatCode>
                <c:ptCount val="3"/>
                <c:pt idx="0" formatCode="&quot;$&quot;#,##0">
                  <c:v>584675.93925102276</c:v>
                </c:pt>
                <c:pt idx="1">
                  <c:v>584675.93925102276</c:v>
                </c:pt>
                <c:pt idx="2">
                  <c:v>584675.93925102276</c:v>
                </c:pt>
              </c:numCache>
            </c:numRef>
          </c:xVal>
          <c:yVal>
            <c:numRef>
              <c:f>'Sensitivity Analysis'!$P$39:$P$41</c:f>
              <c:numCache>
                <c:formatCode>#,##0</c:formatCode>
                <c:ptCount val="3"/>
                <c:pt idx="0">
                  <c:v>5</c:v>
                </c:pt>
                <c:pt idx="1">
                  <c:v>4</c:v>
                </c:pt>
                <c:pt idx="2">
                  <c:v>1</c:v>
                </c:pt>
              </c:numCache>
            </c:numRef>
          </c:yVal>
          <c:smooth val="0"/>
          <c:extLst>
            <c:ext xmlns:c16="http://schemas.microsoft.com/office/drawing/2014/chart" uri="{C3380CC4-5D6E-409C-BE32-E72D297353CC}">
              <c16:uniqueId val="{00000009-6B18-465E-86E1-626BC8915761}"/>
            </c:ext>
          </c:extLst>
        </c:ser>
        <c:dLbls>
          <c:showLegendKey val="0"/>
          <c:showVal val="0"/>
          <c:showCatName val="0"/>
          <c:showSerName val="0"/>
          <c:showPercent val="0"/>
          <c:showBubbleSize val="0"/>
        </c:dLbls>
        <c:axId val="371468184"/>
        <c:axId val="371468576"/>
      </c:scatterChart>
      <c:valAx>
        <c:axId val="371468184"/>
        <c:scaling>
          <c:orientation val="minMax"/>
        </c:scaling>
        <c:delete val="0"/>
        <c:axPos val="t"/>
        <c:title>
          <c:tx>
            <c:rich>
              <a:bodyPr/>
              <a:lstStyle/>
              <a:p>
                <a:pPr>
                  <a:defRPr sz="975" b="1" i="0" u="none" strike="noStrike" baseline="0">
                    <a:solidFill>
                      <a:srgbClr val="333333"/>
                    </a:solidFill>
                    <a:latin typeface="Arial" pitchFamily="34" charset="0"/>
                    <a:ea typeface="Times New Roman"/>
                    <a:cs typeface="Arial" pitchFamily="34" charset="0"/>
                  </a:defRPr>
                </a:pPr>
                <a:r>
                  <a:rPr lang="en-US" sz="800">
                    <a:latin typeface="Cambria" pitchFamily="18" charset="0"/>
                    <a:cs typeface="Arial" pitchFamily="34" charset="0"/>
                  </a:rPr>
                  <a:t>NPV</a:t>
                </a:r>
              </a:p>
            </c:rich>
          </c:tx>
          <c:layout>
            <c:manualLayout>
              <c:xMode val="edge"/>
              <c:yMode val="edge"/>
              <c:x val="2.3857498404484413E-2"/>
              <c:y val="2.4208396018619561E-2"/>
            </c:manualLayout>
          </c:layout>
          <c:overlay val="0"/>
          <c:spPr>
            <a:noFill/>
            <a:ln w="25400">
              <a:noFill/>
            </a:ln>
          </c:spPr>
        </c:title>
        <c:numFmt formatCode="&quot;$&quot;#,##0;&quot;−&quot;&quot;$&quot;#,##0" sourceLinked="1"/>
        <c:majorTickMark val="in"/>
        <c:minorTickMark val="none"/>
        <c:tickLblPos val="high"/>
        <c:spPr>
          <a:ln w="19050">
            <a:solidFill>
              <a:srgbClr val="000000"/>
            </a:solidFill>
            <a:prstDash val="solid"/>
          </a:ln>
        </c:spPr>
        <c:txPr>
          <a:bodyPr rot="0" vert="horz"/>
          <a:lstStyle/>
          <a:p>
            <a:pPr>
              <a:defRPr sz="800" b="1" i="0" u="none" strike="noStrike" baseline="0">
                <a:solidFill>
                  <a:srgbClr val="333333"/>
                </a:solidFill>
                <a:latin typeface="Cambria" pitchFamily="18" charset="0"/>
                <a:ea typeface="Times New Roman"/>
                <a:cs typeface="Arial" pitchFamily="34" charset="0"/>
              </a:defRPr>
            </a:pPr>
            <a:endParaRPr lang="en-US"/>
          </a:p>
        </c:txPr>
        <c:crossAx val="371468576"/>
        <c:crosses val="max"/>
        <c:crossBetween val="midCat"/>
      </c:valAx>
      <c:valAx>
        <c:axId val="371468576"/>
        <c:scaling>
          <c:orientation val="minMax"/>
        </c:scaling>
        <c:delete val="0"/>
        <c:axPos val="r"/>
        <c:numFmt formatCode="#,##0" sourceLinked="1"/>
        <c:majorTickMark val="none"/>
        <c:minorTickMark val="none"/>
        <c:tickLblPos val="none"/>
        <c:spPr>
          <a:ln w="9525">
            <a:noFill/>
          </a:ln>
        </c:spPr>
        <c:txPr>
          <a:bodyPr rot="0" vert="horz"/>
          <a:lstStyle/>
          <a:p>
            <a:pPr>
              <a:defRPr sz="975" b="1" i="0" u="none" strike="noStrike" baseline="0">
                <a:solidFill>
                  <a:srgbClr val="000000"/>
                </a:solidFill>
                <a:latin typeface="Times New Roman"/>
                <a:ea typeface="Times New Roman"/>
                <a:cs typeface="Times New Roman"/>
              </a:defRPr>
            </a:pPr>
            <a:endParaRPr lang="en-US"/>
          </a:p>
        </c:txPr>
        <c:crossAx val="371468184"/>
        <c:crosses val="max"/>
        <c:crossBetween val="midCat"/>
      </c:valAx>
      <c:spPr>
        <a:solidFill>
          <a:srgbClr val="FFFFCC"/>
        </a:solidFill>
        <a:ln w="19050">
          <a:noFill/>
        </a:ln>
      </c:spPr>
    </c:plotArea>
    <c:plotVisOnly val="1"/>
    <c:dispBlanksAs val="gap"/>
    <c:showDLblsOverMax val="0"/>
  </c:chart>
  <c:spPr>
    <a:solidFill>
      <a:srgbClr val="FFFFCC"/>
    </a:solidFill>
    <a:ln w="3175">
      <a:noFill/>
      <a:prstDash val="solid"/>
    </a:ln>
  </c:spPr>
  <c:txPr>
    <a:bodyPr/>
    <a:lstStyle/>
    <a:p>
      <a:pPr>
        <a:defRPr sz="975"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0222" r="0.75000000000000222" t="1" header="0.5" footer="0.5"/>
    <c:pageSetup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Ma'at Chat - University Gross Profit: Enrollment Growth Scenarios Impact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'University Success Impact'!$A$17</c:f>
              <c:strCache>
                <c:ptCount val="1"/>
                <c:pt idx="0">
                  <c:v>Baseline (No Impact) Low Fee $48</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'University Success Impact'!$B$16:$F$16</c:f>
              <c:strCache>
                <c:ptCount val="5"/>
                <c:pt idx="0">
                  <c:v>Year 1</c:v>
                </c:pt>
                <c:pt idx="1">
                  <c:v>Year 2</c:v>
                </c:pt>
                <c:pt idx="2">
                  <c:v>Year 3</c:v>
                </c:pt>
                <c:pt idx="3">
                  <c:v>Year 4</c:v>
                </c:pt>
                <c:pt idx="4">
                  <c:v>Year 5</c:v>
                </c:pt>
              </c:strCache>
            </c:strRef>
          </c:cat>
          <c:val>
            <c:numRef>
              <c:f>'University Success Impact'!$B$17:$F$17</c:f>
              <c:numCache>
                <c:formatCode>"$"#,##0_);[Red]\("$"#,##0\)</c:formatCode>
                <c:ptCount val="5"/>
                <c:pt idx="0">
                  <c:v>240000</c:v>
                </c:pt>
                <c:pt idx="1">
                  <c:v>240000</c:v>
                </c:pt>
                <c:pt idx="2">
                  <c:v>240000</c:v>
                </c:pt>
                <c:pt idx="3">
                  <c:v>240000</c:v>
                </c:pt>
                <c:pt idx="4">
                  <c:v>240000</c:v>
                </c:pt>
              </c:numCache>
            </c:numRef>
          </c:val>
          <c:extLst>
            <c:ext xmlns:c16="http://schemas.microsoft.com/office/drawing/2014/chart" uri="{C3380CC4-5D6E-409C-BE32-E72D297353CC}">
              <c16:uniqueId val="{00000000-86C8-4021-800C-702298979A65}"/>
            </c:ext>
          </c:extLst>
        </c:ser>
        <c:ser>
          <c:idx val="1"/>
          <c:order val="1"/>
          <c:tx>
            <c:strRef>
              <c:f>'University Success Impact'!$A$18</c:f>
              <c:strCache>
                <c:ptCount val="1"/>
                <c:pt idx="0">
                  <c:v>3 % Modest/low Fee $48</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'University Success Impact'!$B$16:$F$16</c:f>
              <c:strCache>
                <c:ptCount val="5"/>
                <c:pt idx="0">
                  <c:v>Year 1</c:v>
                </c:pt>
                <c:pt idx="1">
                  <c:v>Year 2</c:v>
                </c:pt>
                <c:pt idx="2">
                  <c:v>Year 3</c:v>
                </c:pt>
                <c:pt idx="3">
                  <c:v>Year 4</c:v>
                </c:pt>
                <c:pt idx="4">
                  <c:v>Year 5</c:v>
                </c:pt>
              </c:strCache>
            </c:strRef>
          </c:cat>
          <c:val>
            <c:numRef>
              <c:f>'University Success Impact'!$B$18:$F$18</c:f>
              <c:numCache>
                <c:formatCode>"$"#,##0.00_);[Red]\("$"#,##0.00\)</c:formatCode>
                <c:ptCount val="5"/>
                <c:pt idx="0">
                  <c:v>247200</c:v>
                </c:pt>
                <c:pt idx="1">
                  <c:v>254616</c:v>
                </c:pt>
                <c:pt idx="2">
                  <c:v>262254.48</c:v>
                </c:pt>
                <c:pt idx="3">
                  <c:v>270122.11440000002</c:v>
                </c:pt>
                <c:pt idx="4">
                  <c:v>278225.77783199999</c:v>
                </c:pt>
              </c:numCache>
            </c:numRef>
          </c:val>
          <c:extLst>
            <c:ext xmlns:c16="http://schemas.microsoft.com/office/drawing/2014/chart" uri="{C3380CC4-5D6E-409C-BE32-E72D297353CC}">
              <c16:uniqueId val="{00000001-86C8-4021-800C-702298979A65}"/>
            </c:ext>
          </c:extLst>
        </c:ser>
        <c:ser>
          <c:idx val="2"/>
          <c:order val="2"/>
          <c:tx>
            <c:strRef>
              <c:f>'University Success Impact'!$A$19</c:f>
              <c:strCache>
                <c:ptCount val="1"/>
                <c:pt idx="0">
                  <c:v>7% Strong/Low Fee $48</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chemeClr val="accent3">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'University Success Impact'!$B$16:$F$16</c:f>
              <c:strCache>
                <c:ptCount val="5"/>
                <c:pt idx="0">
                  <c:v>Year 1</c:v>
                </c:pt>
                <c:pt idx="1">
                  <c:v>Year 2</c:v>
                </c:pt>
                <c:pt idx="2">
                  <c:v>Year 3</c:v>
                </c:pt>
                <c:pt idx="3">
                  <c:v>Year 4</c:v>
                </c:pt>
                <c:pt idx="4">
                  <c:v>Year 5</c:v>
                </c:pt>
              </c:strCache>
            </c:strRef>
          </c:cat>
          <c:val>
            <c:numRef>
              <c:f>'University Success Impact'!$B$19:$F$19</c:f>
              <c:numCache>
                <c:formatCode>"$"#,##0_);[Red]\("$"#,##0\)</c:formatCode>
                <c:ptCount val="5"/>
                <c:pt idx="0">
                  <c:v>256800.00000000003</c:v>
                </c:pt>
                <c:pt idx="1">
                  <c:v>274776</c:v>
                </c:pt>
                <c:pt idx="2">
                  <c:v>294010.32</c:v>
                </c:pt>
                <c:pt idx="3">
                  <c:v>314591.04240000003</c:v>
                </c:pt>
                <c:pt idx="4">
                  <c:v>336612.4153680001</c:v>
                </c:pt>
              </c:numCache>
            </c:numRef>
          </c:val>
          <c:extLst>
            <c:ext xmlns:c16="http://schemas.microsoft.com/office/drawing/2014/chart" uri="{C3380CC4-5D6E-409C-BE32-E72D297353CC}">
              <c16:uniqueId val="{00000002-86C8-4021-800C-702298979A65}"/>
            </c:ext>
          </c:extLst>
        </c:ser>
        <c:ser>
          <c:idx val="3"/>
          <c:order val="3"/>
          <c:tx>
            <c:strRef>
              <c:f>'University Success Impact'!$A$20</c:f>
              <c:strCache>
                <c:ptCount val="1"/>
                <c:pt idx="0">
                  <c:v>12% Flagship/Low Fee $48</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'University Success Impact'!$B$16:$F$16</c:f>
              <c:strCache>
                <c:ptCount val="5"/>
                <c:pt idx="0">
                  <c:v>Year 1</c:v>
                </c:pt>
                <c:pt idx="1">
                  <c:v>Year 2</c:v>
                </c:pt>
                <c:pt idx="2">
                  <c:v>Year 3</c:v>
                </c:pt>
                <c:pt idx="3">
                  <c:v>Year 4</c:v>
                </c:pt>
                <c:pt idx="4">
                  <c:v>Year 5</c:v>
                </c:pt>
              </c:strCache>
            </c:strRef>
          </c:cat>
          <c:val>
            <c:numRef>
              <c:f>'University Success Impact'!$B$20:$F$20</c:f>
              <c:numCache>
                <c:formatCode>"$"#,##0_);[Red]\("$"#,##0\)</c:formatCode>
                <c:ptCount val="5"/>
                <c:pt idx="0">
                  <c:v>268800</c:v>
                </c:pt>
                <c:pt idx="1">
                  <c:v>301056.00000000006</c:v>
                </c:pt>
                <c:pt idx="2">
                  <c:v>337182.72000000009</c:v>
                </c:pt>
                <c:pt idx="3">
                  <c:v>377644.64640000014</c:v>
                </c:pt>
                <c:pt idx="4">
                  <c:v>422962.00396800018</c:v>
                </c:pt>
              </c:numCache>
            </c:numRef>
          </c:val>
          <c:extLst>
            <c:ext xmlns:c16="http://schemas.microsoft.com/office/drawing/2014/chart" uri="{C3380CC4-5D6E-409C-BE32-E72D297353CC}">
              <c16:uniqueId val="{00000003-86C8-4021-800C-702298979A65}"/>
            </c:ext>
          </c:extLst>
        </c:ser>
        <c:dLbls>
          <c:showLegendKey val="0"/>
          <c:showVal val="1"/>
          <c:showCatName val="0"/>
          <c:showSerName val="0"/>
          <c:showPercent val="0"/>
          <c:showBubbleSize val="0"/>
        </c:dLbls>
        <c:gapWidth val="84"/>
        <c:gapDepth val="53"/>
        <c:shape val="box"/>
        <c:axId val="188372672"/>
        <c:axId val="188378432"/>
        <c:axId val="0"/>
      </c:bar3DChart>
      <c:catAx>
        <c:axId val="1883726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Growth rates reflect post-implementation enrollment uplift, compounded annually from baseline enrollment (10K Students)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378432"/>
        <c:crosses val="autoZero"/>
        <c:auto val="1"/>
        <c:lblAlgn val="ctr"/>
        <c:lblOffset val="100"/>
        <c:noMultiLvlLbl val="0"/>
      </c:catAx>
      <c:valAx>
        <c:axId val="188378432"/>
        <c:scaling>
          <c:orientation val="minMax"/>
          <c:min val="200000"/>
        </c:scaling>
        <c:delete val="1"/>
        <c:axPos val="l"/>
        <c:numFmt formatCode="&quot;$&quot;#,##0_);[Red]\(&quot;$&quot;#,##0\)" sourceLinked="1"/>
        <c:majorTickMark val="out"/>
        <c:minorTickMark val="none"/>
        <c:tickLblPos val="nextTo"/>
        <c:crossAx val="188372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Ma'at Chat - University Gross Profit: Baseline Enrollment (10K Students), Tech Fee Scenarios Impact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'University Success Impact'!$A$24</c:f>
              <c:strCache>
                <c:ptCount val="1"/>
                <c:pt idx="0">
                  <c:v>Baseline Enrollment (low Fee) $48</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'University Success Impact'!$B$23:$F$23</c:f>
              <c:strCache>
                <c:ptCount val="5"/>
                <c:pt idx="0">
                  <c:v>Year 1</c:v>
                </c:pt>
                <c:pt idx="1">
                  <c:v>Year 2</c:v>
                </c:pt>
                <c:pt idx="2">
                  <c:v>Year 3</c:v>
                </c:pt>
                <c:pt idx="3">
                  <c:v>Year 4</c:v>
                </c:pt>
                <c:pt idx="4">
                  <c:v>Year 5</c:v>
                </c:pt>
              </c:strCache>
            </c:strRef>
          </c:cat>
          <c:val>
            <c:numRef>
              <c:f>'University Success Impact'!$B$24:$F$24</c:f>
              <c:numCache>
                <c:formatCode>"$"#,##0_);[Red]\("$"#,##0\)</c:formatCode>
                <c:ptCount val="5"/>
                <c:pt idx="0">
                  <c:v>240000</c:v>
                </c:pt>
                <c:pt idx="1">
                  <c:v>240000</c:v>
                </c:pt>
                <c:pt idx="2">
                  <c:v>240000</c:v>
                </c:pt>
                <c:pt idx="3">
                  <c:v>240000</c:v>
                </c:pt>
                <c:pt idx="4">
                  <c:v>240000</c:v>
                </c:pt>
              </c:numCache>
            </c:numRef>
          </c:val>
          <c:extLst>
            <c:ext xmlns:c16="http://schemas.microsoft.com/office/drawing/2014/chart" uri="{C3380CC4-5D6E-409C-BE32-E72D297353CC}">
              <c16:uniqueId val="{00000000-CFD3-48E4-B5EA-FDA5C2659F48}"/>
            </c:ext>
          </c:extLst>
        </c:ser>
        <c:ser>
          <c:idx val="1"/>
          <c:order val="1"/>
          <c:tx>
            <c:strRef>
              <c:f>'University Success Impact'!$A$25</c:f>
              <c:strCache>
                <c:ptCount val="1"/>
                <c:pt idx="0">
                  <c:v>Baseline Enrollment (moderate Fee) $60</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'University Success Impact'!$B$23:$F$23</c:f>
              <c:strCache>
                <c:ptCount val="5"/>
                <c:pt idx="0">
                  <c:v>Year 1</c:v>
                </c:pt>
                <c:pt idx="1">
                  <c:v>Year 2</c:v>
                </c:pt>
                <c:pt idx="2">
                  <c:v>Year 3</c:v>
                </c:pt>
                <c:pt idx="3">
                  <c:v>Year 4</c:v>
                </c:pt>
                <c:pt idx="4">
                  <c:v>Year 5</c:v>
                </c:pt>
              </c:strCache>
            </c:strRef>
          </c:cat>
          <c:val>
            <c:numRef>
              <c:f>'University Success Impact'!$B$25:$F$25</c:f>
              <c:numCache>
                <c:formatCode>"$"#,##0_);[Red]\("$"#,##0\)</c:formatCode>
                <c:ptCount val="5"/>
                <c:pt idx="0">
                  <c:v>360000</c:v>
                </c:pt>
                <c:pt idx="1">
                  <c:v>360000</c:v>
                </c:pt>
                <c:pt idx="2">
                  <c:v>360000</c:v>
                </c:pt>
                <c:pt idx="3">
                  <c:v>360000</c:v>
                </c:pt>
                <c:pt idx="4">
                  <c:v>360000</c:v>
                </c:pt>
              </c:numCache>
            </c:numRef>
          </c:val>
          <c:extLst>
            <c:ext xmlns:c16="http://schemas.microsoft.com/office/drawing/2014/chart" uri="{C3380CC4-5D6E-409C-BE32-E72D297353CC}">
              <c16:uniqueId val="{00000001-CFD3-48E4-B5EA-FDA5C2659F48}"/>
            </c:ext>
          </c:extLst>
        </c:ser>
        <c:ser>
          <c:idx val="2"/>
          <c:order val="2"/>
          <c:tx>
            <c:strRef>
              <c:f>'University Success Impact'!$A$26</c:f>
              <c:strCache>
                <c:ptCount val="1"/>
                <c:pt idx="0">
                  <c:v>Baseline Enrollment (Ambitious Fee) $96</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chemeClr val="accent3">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'University Success Impact'!$B$23:$F$23</c:f>
              <c:strCache>
                <c:ptCount val="5"/>
                <c:pt idx="0">
                  <c:v>Year 1</c:v>
                </c:pt>
                <c:pt idx="1">
                  <c:v>Year 2</c:v>
                </c:pt>
                <c:pt idx="2">
                  <c:v>Year 3</c:v>
                </c:pt>
                <c:pt idx="3">
                  <c:v>Year 4</c:v>
                </c:pt>
                <c:pt idx="4">
                  <c:v>Year 5</c:v>
                </c:pt>
              </c:strCache>
            </c:strRef>
          </c:cat>
          <c:val>
            <c:numRef>
              <c:f>'University Success Impact'!$B$26:$F$26</c:f>
              <c:numCache>
                <c:formatCode>"$"#,##0_);[Red]\("$"#,##0\)</c:formatCode>
                <c:ptCount val="5"/>
                <c:pt idx="0">
                  <c:v>720000</c:v>
                </c:pt>
                <c:pt idx="1">
                  <c:v>720000</c:v>
                </c:pt>
                <c:pt idx="2">
                  <c:v>720000</c:v>
                </c:pt>
                <c:pt idx="3">
                  <c:v>720000</c:v>
                </c:pt>
                <c:pt idx="4">
                  <c:v>720000</c:v>
                </c:pt>
              </c:numCache>
            </c:numRef>
          </c:val>
          <c:extLst>
            <c:ext xmlns:c16="http://schemas.microsoft.com/office/drawing/2014/chart" uri="{C3380CC4-5D6E-409C-BE32-E72D297353CC}">
              <c16:uniqueId val="{00000002-CFD3-48E4-B5EA-FDA5C2659F48}"/>
            </c:ext>
          </c:extLst>
        </c:ser>
        <c:dLbls>
          <c:showLegendKey val="0"/>
          <c:showVal val="1"/>
          <c:showCatName val="0"/>
          <c:showSerName val="0"/>
          <c:showPercent val="0"/>
          <c:showBubbleSize val="0"/>
        </c:dLbls>
        <c:gapWidth val="84"/>
        <c:gapDepth val="53"/>
        <c:shape val="box"/>
        <c:axId val="190910976"/>
        <c:axId val="190894176"/>
        <c:axId val="0"/>
      </c:bar3DChart>
      <c:catAx>
        <c:axId val="190910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894176"/>
        <c:crosses val="autoZero"/>
        <c:auto val="1"/>
        <c:lblAlgn val="ctr"/>
        <c:lblOffset val="100"/>
        <c:noMultiLvlLbl val="0"/>
      </c:catAx>
      <c:valAx>
        <c:axId val="190894176"/>
        <c:scaling>
          <c:orientation val="minMax"/>
        </c:scaling>
        <c:delete val="1"/>
        <c:axPos val="l"/>
        <c:numFmt formatCode="&quot;$&quot;#,##0_);[Red]\(&quot;$&quot;#,##0\)" sourceLinked="1"/>
        <c:majorTickMark val="out"/>
        <c:minorTickMark val="none"/>
        <c:tickLblPos val="nextTo"/>
        <c:crossAx val="1909109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609599</xdr:colOff>
      <xdr:row>1</xdr:row>
      <xdr:rowOff>23812</xdr:rowOff>
    </xdr:from>
    <xdr:to>
      <xdr:col>12</xdr:col>
      <xdr:colOff>95250</xdr:colOff>
      <xdr:row>14</xdr:row>
      <xdr:rowOff>161926</xdr:rowOff>
    </xdr:to>
    <xdr:sp macro="" textlink="">
      <xdr:nvSpPr>
        <xdr:cNvPr id="2" name="TextBox 1">
          <a:extLst>
            <a:ext uri="{FF2B5EF4-FFF2-40B4-BE49-F238E27FC236}">
              <a16:creationId xmlns:a16="http://schemas.microsoft.com/office/drawing/2014/main" id="{D1EAB560-307E-D0FD-1859-1AB561D166A3}"/>
            </a:ext>
          </a:extLst>
        </xdr:cNvPr>
        <xdr:cNvSpPr txBox="1"/>
      </xdr:nvSpPr>
      <xdr:spPr>
        <a:xfrm>
          <a:off x="8905874" y="214312"/>
          <a:ext cx="3143251" cy="2614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How big is 2,000 tokens?</a:t>
          </a:r>
        </a:p>
        <a:p>
          <a:r>
            <a:rPr lang="en-US" b="1"/>
            <a:t>1 token ≈ 3–4 characters of English text</a:t>
          </a:r>
        </a:p>
        <a:p>
          <a:r>
            <a:rPr lang="en-US"/>
            <a:t>Average English word = 4–5 characters + space = ~0.75 tokens.</a:t>
          </a:r>
        </a:p>
        <a:p>
          <a:r>
            <a:rPr lang="en-US"/>
            <a:t>So:</a:t>
          </a:r>
        </a:p>
        <a:p>
          <a:r>
            <a:rPr lang="en-US" b="1"/>
            <a:t>2,000 tokens ≈ 1,500 words total</a:t>
          </a:r>
        </a:p>
        <a:p>
          <a:r>
            <a:rPr lang="en-US"/>
            <a:t>(roughly 3–4 single-spaced pages)</a:t>
          </a:r>
        </a:p>
        <a:p>
          <a:r>
            <a:rPr lang="en-US"/>
            <a:t>But </a:t>
          </a:r>
          <a:r>
            <a:rPr lang="en-US" b="1"/>
            <a:t>that’s combined input + output</a:t>
          </a:r>
          <a:r>
            <a:rPr lang="en-US"/>
            <a:t> if you treat it as one chunk.</a:t>
          </a:r>
        </a:p>
        <a:p>
          <a:r>
            <a:rPr lang="en-US"/>
            <a:t>A conversation is usually </a:t>
          </a:r>
          <a:r>
            <a:rPr lang="en-US" b="1"/>
            <a:t>multiple messages</a:t>
          </a:r>
          <a:r>
            <a:rPr lang="en-US"/>
            <a:t>, so a more intuitive break-down is:</a:t>
          </a:r>
        </a:p>
        <a:p>
          <a:endParaRPr lang="en-US" sz="1100"/>
        </a:p>
        <a:p>
          <a:r>
            <a:rPr lang="en-US" sz="1100" b="1"/>
            <a:t>5 classes</a:t>
          </a:r>
          <a:r>
            <a:rPr lang="en-US" sz="1100" b="1" baseline="0"/>
            <a:t>/day = 5 conversations x 6 days x 15 weeks </a:t>
          </a:r>
        </a:p>
        <a:p>
          <a:r>
            <a:rPr lang="en-US" sz="1100" b="1" baseline="0"/>
            <a:t>	= 1 semester tokens usage</a:t>
          </a:r>
          <a:endParaRPr lang="en-US" sz="1100" b="1"/>
        </a:p>
      </xdr:txBody>
    </xdr:sp>
    <xdr:clientData/>
  </xdr:twoCellAnchor>
  <xdr:twoCellAnchor>
    <xdr:from>
      <xdr:col>7</xdr:col>
      <xdr:colOff>9525</xdr:colOff>
      <xdr:row>16</xdr:row>
      <xdr:rowOff>4761</xdr:rowOff>
    </xdr:from>
    <xdr:to>
      <xdr:col>11</xdr:col>
      <xdr:colOff>600075</xdr:colOff>
      <xdr:row>38</xdr:row>
      <xdr:rowOff>85725</xdr:rowOff>
    </xdr:to>
    <xdr:sp macro="" textlink="">
      <xdr:nvSpPr>
        <xdr:cNvPr id="3" name="TextBox 2">
          <a:extLst>
            <a:ext uri="{FF2B5EF4-FFF2-40B4-BE49-F238E27FC236}">
              <a16:creationId xmlns:a16="http://schemas.microsoft.com/office/drawing/2014/main" id="{6F1F6BCE-16FA-F3EE-5262-7CA8988BCEA4}"/>
            </a:ext>
          </a:extLst>
        </xdr:cNvPr>
        <xdr:cNvSpPr txBox="1"/>
      </xdr:nvSpPr>
      <xdr:spPr>
        <a:xfrm>
          <a:off x="7219950" y="3052761"/>
          <a:ext cx="3028950" cy="4271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Student asks a question</a:t>
          </a:r>
        </a:p>
        <a:p>
          <a:r>
            <a:rPr lang="en-US"/>
            <a:t>About 20–60 words</a:t>
          </a:r>
        </a:p>
        <a:p>
          <a:r>
            <a:rPr lang="en-US"/>
            <a:t>≈ </a:t>
          </a:r>
          <a:r>
            <a:rPr lang="en-US" b="1"/>
            <a:t>30–80 tokens</a:t>
          </a:r>
          <a:endParaRPr lang="en-US"/>
        </a:p>
        <a:p>
          <a:r>
            <a:rPr lang="en-US" b="1"/>
            <a:t>AI gives a response</a:t>
          </a:r>
        </a:p>
        <a:p>
          <a:r>
            <a:rPr lang="en-US"/>
            <a:t>About 120–250 words</a:t>
          </a:r>
        </a:p>
        <a:p>
          <a:r>
            <a:rPr lang="en-US"/>
            <a:t>≈ </a:t>
          </a:r>
          <a:r>
            <a:rPr lang="en-US" b="1"/>
            <a:t>150–300 tokens</a:t>
          </a:r>
          <a:endParaRPr lang="en-US"/>
        </a:p>
        <a:p>
          <a:r>
            <a:rPr lang="en-US" b="1"/>
            <a:t>Student follows up</a:t>
          </a:r>
        </a:p>
        <a:p>
          <a:r>
            <a:rPr lang="en-US"/>
            <a:t>≈ 20–40 words</a:t>
          </a:r>
        </a:p>
        <a:p>
          <a:r>
            <a:rPr lang="en-US"/>
            <a:t>≈ </a:t>
          </a:r>
          <a:r>
            <a:rPr lang="en-US" b="1"/>
            <a:t>25–50 tokens</a:t>
          </a:r>
          <a:endParaRPr lang="en-US"/>
        </a:p>
        <a:p>
          <a:r>
            <a:rPr lang="en-US" b="1"/>
            <a:t>AI responds</a:t>
          </a:r>
        </a:p>
        <a:p>
          <a:r>
            <a:rPr lang="en-US"/>
            <a:t>≈ 100–200 words</a:t>
          </a:r>
        </a:p>
        <a:p>
          <a:r>
            <a:rPr lang="en-US"/>
            <a:t>≈ </a:t>
          </a:r>
          <a:r>
            <a:rPr lang="en-US" b="1"/>
            <a:t>120–250 tokens</a:t>
          </a:r>
          <a:endParaRPr lang="en-US"/>
        </a:p>
        <a:p>
          <a:r>
            <a:rPr lang="en-US" b="1"/>
            <a:t>Typical 1–2 turn conversation = 300–600 tokens total</a:t>
          </a:r>
        </a:p>
        <a:p>
          <a:r>
            <a:rPr lang="en-US"/>
            <a:t>So </a:t>
          </a:r>
          <a:r>
            <a:rPr lang="en-US" b="1"/>
            <a:t>2,000 tokens per “conversation” is actually VERY generous</a:t>
          </a:r>
          <a:r>
            <a:rPr lang="en-US"/>
            <a:t> — it represents a </a:t>
          </a:r>
          <a:r>
            <a:rPr lang="en-US" i="1"/>
            <a:t>long</a:t>
          </a:r>
          <a:r>
            <a:rPr lang="en-US"/>
            <a:t> exchange, like:</a:t>
          </a:r>
        </a:p>
        <a:p>
          <a:r>
            <a:rPr lang="en-US"/>
            <a:t>6–10 back-and-forth messages</a:t>
          </a:r>
        </a:p>
        <a:p>
          <a:r>
            <a:rPr lang="en-US"/>
            <a:t>The student requesting multiple clarifications</a:t>
          </a:r>
        </a:p>
        <a:p>
          <a:r>
            <a:rPr lang="en-US"/>
            <a:t>The AI providing detailed explanations</a:t>
          </a:r>
        </a:p>
        <a:p>
          <a:r>
            <a:rPr lang="en-US"/>
            <a:t>Possibly generating examples, rewriting text, or analyzing something</a:t>
          </a:r>
        </a:p>
        <a:p>
          <a:r>
            <a:rPr lang="en-US"/>
            <a:t>Most students will NOT hit 2,000 tokens per session unless they do something heavy.</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88855</xdr:colOff>
      <xdr:row>3</xdr:row>
      <xdr:rowOff>72737</xdr:rowOff>
    </xdr:from>
    <xdr:to>
      <xdr:col>6</xdr:col>
      <xdr:colOff>7327</xdr:colOff>
      <xdr:row>24</xdr:row>
      <xdr:rowOff>82550</xdr:rowOff>
    </xdr:to>
    <xdr:graphicFrame macro="">
      <xdr:nvGraphicFramePr>
        <xdr:cNvPr id="2" name="Chart 46">
          <a:extLst>
            <a:ext uri="{FF2B5EF4-FFF2-40B4-BE49-F238E27FC236}">
              <a16:creationId xmlns:a16="http://schemas.microsoft.com/office/drawing/2014/main" id="{A7430436-B8A1-4A31-A33F-70B878CDE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120272</xdr:colOff>
      <xdr:row>38</xdr:row>
      <xdr:rowOff>73240</xdr:rowOff>
    </xdr:from>
    <xdr:to>
      <xdr:col>6</xdr:col>
      <xdr:colOff>244719</xdr:colOff>
      <xdr:row>54</xdr:row>
      <xdr:rowOff>101112</xdr:rowOff>
    </xdr:to>
    <xdr:graphicFrame macro="">
      <xdr:nvGraphicFramePr>
        <xdr:cNvPr id="3" name="Chart 46">
          <a:extLst>
            <a:ext uri="{FF2B5EF4-FFF2-40B4-BE49-F238E27FC236}">
              <a16:creationId xmlns:a16="http://schemas.microsoft.com/office/drawing/2014/main" id="{CFAF4471-831B-4C8B-BDAC-EE9850AB3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0.81183</cdr:x>
      <cdr:y>0.47098</cdr:y>
    </cdr:from>
    <cdr:to>
      <cdr:x>0.8283</cdr:x>
      <cdr:y>0.49531</cdr:y>
    </cdr:to>
    <cdr:sp macro="" textlink="">
      <cdr:nvSpPr>
        <cdr:cNvPr id="222211" name="Text Box 1027"/>
        <cdr:cNvSpPr txBox="1">
          <a:spLocks xmlns:a="http://schemas.openxmlformats.org/drawingml/2006/main" noChangeArrowheads="1"/>
        </cdr:cNvSpPr>
      </cdr:nvSpPr>
      <cdr:spPr bwMode="auto">
        <a:xfrm xmlns:a="http://schemas.openxmlformats.org/drawingml/2006/main">
          <a:off x="4757817" y="1774773"/>
          <a:ext cx="96993" cy="93140"/>
        </a:xfrm>
        <a:prstGeom xmlns:a="http://schemas.openxmlformats.org/drawingml/2006/main" prst="rect">
          <a:avLst/>
        </a:prstGeom>
        <a:noFill xmlns:a="http://schemas.openxmlformats.org/drawingml/2006/main"/>
        <a:ln xmlns:a="http://schemas.openxmlformats.org/drawingml/2006/main" w="9525">
          <a:noFill/>
          <a:miter lim="800000"/>
          <a:headEnd/>
          <a:tailEnd/>
        </a:ln>
      </cdr:spPr>
    </cdr:sp>
  </cdr:relSizeAnchor>
</c:userShapes>
</file>

<file path=xl/drawings/drawing4.xml><?xml version="1.0" encoding="utf-8"?>
<c:userShapes xmlns:c="http://schemas.openxmlformats.org/drawingml/2006/chart">
  <cdr:relSizeAnchor xmlns:cdr="http://schemas.openxmlformats.org/drawingml/2006/chartDrawing">
    <cdr:from>
      <cdr:x>0.79153</cdr:x>
      <cdr:y>0.55412</cdr:y>
    </cdr:from>
    <cdr:to>
      <cdr:x>0.81559</cdr:x>
      <cdr:y>0.57919</cdr:y>
    </cdr:to>
    <cdr:sp macro="" textlink="">
      <cdr:nvSpPr>
        <cdr:cNvPr id="222211" name="Text Box 1027"/>
        <cdr:cNvSpPr txBox="1">
          <a:spLocks xmlns:a="http://schemas.openxmlformats.org/drawingml/2006/main" noChangeArrowheads="1"/>
        </cdr:cNvSpPr>
      </cdr:nvSpPr>
      <cdr:spPr bwMode="auto">
        <a:xfrm xmlns:a="http://schemas.openxmlformats.org/drawingml/2006/main">
          <a:off x="4757817" y="1774773"/>
          <a:ext cx="96993" cy="93140"/>
        </a:xfrm>
        <a:prstGeom xmlns:a="http://schemas.openxmlformats.org/drawingml/2006/main" prst="rect">
          <a:avLst/>
        </a:prstGeom>
        <a:noFill xmlns:a="http://schemas.openxmlformats.org/drawingml/2006/main"/>
        <a:ln xmlns:a="http://schemas.openxmlformats.org/drawingml/2006/main" w="9525">
          <a:noFill/>
          <a:miter lim="800000"/>
          <a:headEnd/>
          <a:tailEnd/>
        </a:ln>
      </cdr:spPr>
    </cdr:sp>
  </cdr:relSizeAnchor>
</c:userShapes>
</file>

<file path=xl/drawings/drawing5.xml><?xml version="1.0" encoding="utf-8"?>
<xdr:wsDr xmlns:xdr="http://schemas.openxmlformats.org/drawingml/2006/spreadsheetDrawing" xmlns:a="http://schemas.openxmlformats.org/drawingml/2006/main">
  <xdr:twoCellAnchor>
    <xdr:from>
      <xdr:col>6</xdr:col>
      <xdr:colOff>257175</xdr:colOff>
      <xdr:row>3</xdr:row>
      <xdr:rowOff>0</xdr:rowOff>
    </xdr:from>
    <xdr:to>
      <xdr:col>7</xdr:col>
      <xdr:colOff>742950</xdr:colOff>
      <xdr:row>3</xdr:row>
      <xdr:rowOff>0</xdr:rowOff>
    </xdr:to>
    <xdr:sp macro="" textlink="">
      <xdr:nvSpPr>
        <xdr:cNvPr id="2" name="Line 4145">
          <a:extLst>
            <a:ext uri="{FF2B5EF4-FFF2-40B4-BE49-F238E27FC236}">
              <a16:creationId xmlns:a16="http://schemas.microsoft.com/office/drawing/2014/main" id="{0AE8BBF6-565E-43CF-A99F-F726B25400D5}"/>
            </a:ext>
          </a:extLst>
        </xdr:cNvPr>
        <xdr:cNvSpPr>
          <a:spLocks noChangeShapeType="1"/>
        </xdr:cNvSpPr>
      </xdr:nvSpPr>
      <xdr:spPr bwMode="auto">
        <a:xfrm>
          <a:off x="4772025" y="4762500"/>
          <a:ext cx="1000125" cy="0"/>
        </a:xfrm>
        <a:prstGeom prst="line">
          <a:avLst/>
        </a:prstGeom>
        <a:noFill/>
        <a:ln w="9525">
          <a:noFill/>
          <a:round/>
          <a:headEnd/>
          <a:tailEnd type="triangle" w="med" len="med"/>
        </a:ln>
      </xdr:spPr>
    </xdr:sp>
    <xdr:clientData/>
  </xdr:twoCellAnchor>
  <xdr:twoCellAnchor>
    <xdr:from>
      <xdr:col>6</xdr:col>
      <xdr:colOff>466725</xdr:colOff>
      <xdr:row>3</xdr:row>
      <xdr:rowOff>0</xdr:rowOff>
    </xdr:from>
    <xdr:to>
      <xdr:col>7</xdr:col>
      <xdr:colOff>723900</xdr:colOff>
      <xdr:row>3</xdr:row>
      <xdr:rowOff>0</xdr:rowOff>
    </xdr:to>
    <xdr:sp macro="" textlink="">
      <xdr:nvSpPr>
        <xdr:cNvPr id="3" name="Line 4146">
          <a:extLst>
            <a:ext uri="{FF2B5EF4-FFF2-40B4-BE49-F238E27FC236}">
              <a16:creationId xmlns:a16="http://schemas.microsoft.com/office/drawing/2014/main" id="{0E4593C6-8306-40E5-8B00-EC4F26D88372}"/>
            </a:ext>
          </a:extLst>
        </xdr:cNvPr>
        <xdr:cNvSpPr>
          <a:spLocks noChangeShapeType="1"/>
        </xdr:cNvSpPr>
      </xdr:nvSpPr>
      <xdr:spPr bwMode="auto">
        <a:xfrm>
          <a:off x="4981575" y="4762500"/>
          <a:ext cx="790575" cy="0"/>
        </a:xfrm>
        <a:prstGeom prst="line">
          <a:avLst/>
        </a:prstGeom>
        <a:noFill/>
        <a:ln w="9525">
          <a:noFill/>
          <a:round/>
          <a:headEnd/>
          <a:tailEnd type="triangle" w="med" len="med"/>
        </a:ln>
      </xdr:spPr>
    </xdr:sp>
    <xdr:clientData/>
  </xdr:twoCellAnchor>
  <xdr:twoCellAnchor>
    <xdr:from>
      <xdr:col>13</xdr:col>
      <xdr:colOff>9525</xdr:colOff>
      <xdr:row>48</xdr:row>
      <xdr:rowOff>180975</xdr:rowOff>
    </xdr:from>
    <xdr:to>
      <xdr:col>34</xdr:col>
      <xdr:colOff>657225</xdr:colOff>
      <xdr:row>63</xdr:row>
      <xdr:rowOff>104775</xdr:rowOff>
    </xdr:to>
    <xdr:sp macro="" textlink="">
      <xdr:nvSpPr>
        <xdr:cNvPr id="4" name="TextBox 3">
          <a:extLst>
            <a:ext uri="{FF2B5EF4-FFF2-40B4-BE49-F238E27FC236}">
              <a16:creationId xmlns:a16="http://schemas.microsoft.com/office/drawing/2014/main" id="{451FD4E8-2ACD-D058-C7CA-04809FDCF213}"/>
            </a:ext>
          </a:extLst>
        </xdr:cNvPr>
        <xdr:cNvSpPr txBox="1"/>
      </xdr:nvSpPr>
      <xdr:spPr>
        <a:xfrm>
          <a:off x="8277225" y="9429750"/>
          <a:ext cx="16640175"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Adoption Growth and Working Capital Assumptions</a:t>
          </a:r>
        </a:p>
        <a:p>
          <a:endParaRPr lang="en-US" b="1"/>
        </a:p>
        <a:p>
          <a:r>
            <a:rPr lang="en-US" sz="1400"/>
            <a:t>The intermediate calculations section models adoption growth using a </a:t>
          </a:r>
          <a:r>
            <a:rPr lang="en-US" sz="1400" b="1"/>
            <a:t>compound annual growth rate (CAGR) applied from a defined base level</a:t>
          </a:r>
          <a:r>
            <a:rPr lang="en-US" sz="1400"/>
            <a:t>, rather than discrete unit sales. This approach reflects the platform’s institutional rollout model, where growth is driven by the onboarding of schools and corresponding increases in student users rather than one-off product transactions.</a:t>
          </a:r>
        </a:p>
        <a:p>
          <a:endParaRPr lang="en-US" sz="1400"/>
        </a:p>
        <a:p>
          <a:r>
            <a:rPr lang="en-US" sz="1400"/>
            <a:t>In the base case, adoption grows at a steady 40% annual rate following initial deployment, consistent with early-stage EdTech expansion driven by institutional licensing. The worst-case scenario assumes no adoption growth beyond the initial base, representing stalled uptake or delayed institutional acceptance. The best-case scenario reflects accelerated early adoption, with high initial growth that tapers over time as market penetration increases and the product transitions from early adoption toward a more mature growth phase.</a:t>
          </a:r>
        </a:p>
        <a:p>
          <a:endParaRPr lang="en-US" sz="1400"/>
        </a:p>
        <a:p>
          <a:r>
            <a:rPr lang="en-US" sz="1400"/>
            <a:t>Net operating working capital (NOWC) is modeled as </a:t>
          </a:r>
          <a:r>
            <a:rPr lang="en-US" sz="1400" b="1"/>
            <a:t>10% of the following year’s revenue (Revenue_{t+1})</a:t>
          </a:r>
          <a:r>
            <a:rPr lang="en-US" sz="1400"/>
            <a:t>, reflecting the forward-looking liquidity required to support onboarding, servicing, and operational scaling associated with future growth. In the terminal year, NOWC is conservatively estimated as 10% of the prior year’s revenue to reflect stabilization as growth moderates. Changes in NOWC are incorporated into annual free cash flows to ensure that growth-related funding requirements are fully captured in the valuation.</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19050</xdr:colOff>
      <xdr:row>6</xdr:row>
      <xdr:rowOff>4760</xdr:rowOff>
    </xdr:from>
    <xdr:to>
      <xdr:col>26</xdr:col>
      <xdr:colOff>114300</xdr:colOff>
      <xdr:row>33</xdr:row>
      <xdr:rowOff>171449</xdr:rowOff>
    </xdr:to>
    <xdr:graphicFrame macro="">
      <xdr:nvGraphicFramePr>
        <xdr:cNvPr id="2" name="Chart 1">
          <a:extLst>
            <a:ext uri="{FF2B5EF4-FFF2-40B4-BE49-F238E27FC236}">
              <a16:creationId xmlns:a16="http://schemas.microsoft.com/office/drawing/2014/main" id="{3001AC87-47DD-89A2-D61E-D98B80E42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38099</xdr:colOff>
      <xdr:row>34</xdr:row>
      <xdr:rowOff>185737</xdr:rowOff>
    </xdr:from>
    <xdr:to>
      <xdr:col>26</xdr:col>
      <xdr:colOff>600075</xdr:colOff>
      <xdr:row>60</xdr:row>
      <xdr:rowOff>142875</xdr:rowOff>
    </xdr:to>
    <xdr:graphicFrame macro="">
      <xdr:nvGraphicFramePr>
        <xdr:cNvPr id="3" name="Chart 2">
          <a:extLst>
            <a:ext uri="{FF2B5EF4-FFF2-40B4-BE49-F238E27FC236}">
              <a16:creationId xmlns:a16="http://schemas.microsoft.com/office/drawing/2014/main" id="{76A5AEF1-ECEE-DA1B-9E87-42E8E3C9C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6CC6-C170-4B76-9331-17148106A10C}">
  <dimension ref="B1:L89"/>
  <sheetViews>
    <sheetView topLeftCell="A13" workbookViewId="0">
      <selection activeCell="F12" sqref="F12"/>
    </sheetView>
  </sheetViews>
  <sheetFormatPr defaultRowHeight="15" x14ac:dyDescent="0.25"/>
  <cols>
    <col min="2" max="2" width="56.140625" customWidth="1"/>
    <col min="3" max="3" width="17" customWidth="1"/>
    <col min="4" max="4" width="9.140625" customWidth="1"/>
    <col min="5" max="5" width="16.28515625" customWidth="1"/>
    <col min="6" max="6" width="27.42578125" customWidth="1"/>
    <col min="15" max="15" width="16.7109375" customWidth="1"/>
    <col min="16" max="16" width="17.7109375" customWidth="1"/>
  </cols>
  <sheetData>
    <row r="1" spans="2:12" x14ac:dyDescent="0.25">
      <c r="B1" s="1" t="s">
        <v>0</v>
      </c>
      <c r="C1" s="1" t="s">
        <v>1</v>
      </c>
      <c r="D1" s="406" t="s">
        <v>2</v>
      </c>
      <c r="E1" s="406"/>
      <c r="F1" s="406"/>
      <c r="G1" s="406"/>
      <c r="H1" s="406" t="s">
        <v>25</v>
      </c>
      <c r="I1" s="406"/>
      <c r="J1" s="406"/>
      <c r="K1" s="406"/>
      <c r="L1" s="406"/>
    </row>
    <row r="2" spans="2:12" x14ac:dyDescent="0.25">
      <c r="B2" t="s">
        <v>3</v>
      </c>
      <c r="C2">
        <v>10000</v>
      </c>
    </row>
    <row r="3" spans="2:12" x14ac:dyDescent="0.25">
      <c r="B3" t="s">
        <v>27</v>
      </c>
      <c r="C3">
        <f>C5</f>
        <v>2000</v>
      </c>
    </row>
    <row r="4" spans="2:12" x14ac:dyDescent="0.25">
      <c r="B4" t="s">
        <v>29</v>
      </c>
      <c r="C4">
        <f>C3*C12</f>
        <v>10000</v>
      </c>
    </row>
    <row r="5" spans="2:12" x14ac:dyDescent="0.25">
      <c r="B5" t="s">
        <v>4</v>
      </c>
      <c r="C5">
        <v>2000</v>
      </c>
    </row>
    <row r="6" spans="2:12" x14ac:dyDescent="0.25">
      <c r="B6" t="s">
        <v>30</v>
      </c>
      <c r="C6">
        <f>C4*6</f>
        <v>60000</v>
      </c>
      <c r="D6" s="408" t="s">
        <v>31</v>
      </c>
      <c r="E6" s="408"/>
      <c r="F6" s="408"/>
      <c r="G6" s="408"/>
    </row>
    <row r="7" spans="2:12" x14ac:dyDescent="0.25">
      <c r="B7" t="s">
        <v>5</v>
      </c>
      <c r="C7">
        <f>(C6*15)/2000</f>
        <v>450</v>
      </c>
    </row>
    <row r="8" spans="2:12" x14ac:dyDescent="0.25">
      <c r="B8" s="8" t="s">
        <v>6</v>
      </c>
      <c r="C8" s="8">
        <f>C7*C5</f>
        <v>900000</v>
      </c>
    </row>
    <row r="9" spans="2:12" x14ac:dyDescent="0.25">
      <c r="B9" t="s">
        <v>7</v>
      </c>
      <c r="C9" s="2">
        <v>0.15</v>
      </c>
    </row>
    <row r="10" spans="2:12" x14ac:dyDescent="0.25">
      <c r="B10" t="s">
        <v>8</v>
      </c>
      <c r="C10" s="2">
        <v>0.6</v>
      </c>
    </row>
    <row r="11" spans="2:12" x14ac:dyDescent="0.25">
      <c r="B11" t="s">
        <v>9</v>
      </c>
      <c r="C11" t="s">
        <v>10</v>
      </c>
    </row>
    <row r="12" spans="2:12" x14ac:dyDescent="0.25">
      <c r="B12" t="s">
        <v>28</v>
      </c>
      <c r="C12">
        <v>5</v>
      </c>
    </row>
    <row r="13" spans="2:12" x14ac:dyDescent="0.25">
      <c r="B13" t="s">
        <v>11</v>
      </c>
      <c r="C13">
        <v>2</v>
      </c>
    </row>
    <row r="16" spans="2:12" x14ac:dyDescent="0.25">
      <c r="B16" s="1" t="s">
        <v>12</v>
      </c>
      <c r="C16" s="1"/>
      <c r="D16" s="1"/>
      <c r="E16" s="1"/>
      <c r="F16" s="1"/>
      <c r="G16" s="1"/>
      <c r="H16" s="406" t="s">
        <v>26</v>
      </c>
      <c r="I16" s="407"/>
      <c r="J16" s="407"/>
      <c r="K16" s="407"/>
      <c r="L16" s="407"/>
    </row>
    <row r="17" spans="2:7" x14ac:dyDescent="0.25">
      <c r="B17" t="s">
        <v>13</v>
      </c>
      <c r="C17">
        <f>C8*0.6</f>
        <v>540000</v>
      </c>
    </row>
    <row r="18" spans="2:7" x14ac:dyDescent="0.25">
      <c r="B18" t="s">
        <v>14</v>
      </c>
      <c r="C18">
        <f>C8*0.4</f>
        <v>360000</v>
      </c>
    </row>
    <row r="21" spans="2:7" x14ac:dyDescent="0.25">
      <c r="B21" s="1" t="s">
        <v>15</v>
      </c>
      <c r="C21" s="1"/>
      <c r="D21" s="1"/>
      <c r="E21" s="1"/>
      <c r="F21" s="1"/>
      <c r="G21" s="1"/>
    </row>
    <row r="22" spans="2:7" x14ac:dyDescent="0.25">
      <c r="B22" t="s">
        <v>16</v>
      </c>
      <c r="C22" s="4">
        <f>(C17/1000000)*C9</f>
        <v>8.1000000000000003E-2</v>
      </c>
    </row>
    <row r="23" spans="2:7" x14ac:dyDescent="0.25">
      <c r="B23" t="s">
        <v>17</v>
      </c>
      <c r="C23" s="5">
        <f>(C18/1000000)*C10</f>
        <v>0.216</v>
      </c>
    </row>
    <row r="24" spans="2:7" x14ac:dyDescent="0.25">
      <c r="B24" t="s">
        <v>18</v>
      </c>
      <c r="C24" s="5">
        <f>C22+C23</f>
        <v>0.29699999999999999</v>
      </c>
    </row>
    <row r="25" spans="2:7" x14ac:dyDescent="0.25">
      <c r="B25" s="8" t="s">
        <v>19</v>
      </c>
      <c r="C25" s="9">
        <f>C24*C13</f>
        <v>0.59399999999999997</v>
      </c>
    </row>
    <row r="28" spans="2:7" x14ac:dyDescent="0.25">
      <c r="B28" s="1" t="s">
        <v>20</v>
      </c>
      <c r="C28" s="1"/>
      <c r="D28" s="1"/>
      <c r="E28" s="1"/>
      <c r="F28" s="1"/>
      <c r="G28" s="1"/>
    </row>
    <row r="29" spans="2:7" x14ac:dyDescent="0.25">
      <c r="B29" t="s">
        <v>21</v>
      </c>
      <c r="C29">
        <f>C8*C2*C13</f>
        <v>18000000000</v>
      </c>
    </row>
    <row r="30" spans="2:7" x14ac:dyDescent="0.25">
      <c r="B30" t="s">
        <v>22</v>
      </c>
      <c r="C30" s="2">
        <f>(C29*0.6/1000000)*C9</f>
        <v>1620</v>
      </c>
    </row>
    <row r="31" spans="2:7" x14ac:dyDescent="0.25">
      <c r="B31" t="s">
        <v>23</v>
      </c>
      <c r="C31" s="2">
        <f>(C29*0.4/1000000)*C10</f>
        <v>4320</v>
      </c>
    </row>
    <row r="32" spans="2:7" x14ac:dyDescent="0.25">
      <c r="B32" s="8" t="s">
        <v>24</v>
      </c>
      <c r="C32" s="10">
        <f>C30+C31</f>
        <v>5940</v>
      </c>
    </row>
    <row r="35" spans="2:7" x14ac:dyDescent="0.25">
      <c r="B35" s="1" t="s">
        <v>43</v>
      </c>
      <c r="C35" s="1"/>
      <c r="D35" s="1"/>
      <c r="E35" s="1"/>
      <c r="F35" s="1"/>
      <c r="G35" s="1"/>
    </row>
    <row r="36" spans="2:7" x14ac:dyDescent="0.25">
      <c r="B36" t="s">
        <v>32</v>
      </c>
      <c r="C36" s="7">
        <v>6000</v>
      </c>
    </row>
    <row r="37" spans="2:7" x14ac:dyDescent="0.25">
      <c r="B37" t="s">
        <v>33</v>
      </c>
      <c r="C37" s="7">
        <v>4000</v>
      </c>
    </row>
    <row r="38" spans="2:7" x14ac:dyDescent="0.25">
      <c r="B38" t="s">
        <v>34</v>
      </c>
      <c r="C38" s="7">
        <v>3000</v>
      </c>
    </row>
    <row r="39" spans="2:7" x14ac:dyDescent="0.25">
      <c r="B39" t="s">
        <v>35</v>
      </c>
      <c r="C39" s="7">
        <v>1500</v>
      </c>
    </row>
    <row r="40" spans="2:7" x14ac:dyDescent="0.25">
      <c r="B40" t="s">
        <v>36</v>
      </c>
      <c r="C40" s="7">
        <v>1000</v>
      </c>
    </row>
    <row r="41" spans="2:7" x14ac:dyDescent="0.25">
      <c r="B41" t="s">
        <v>42</v>
      </c>
      <c r="C41" s="7">
        <v>1500</v>
      </c>
    </row>
    <row r="42" spans="2:7" x14ac:dyDescent="0.25">
      <c r="B42" t="s">
        <v>24</v>
      </c>
      <c r="C42" s="7">
        <f>C32</f>
        <v>5940</v>
      </c>
    </row>
    <row r="43" spans="2:7" x14ac:dyDescent="0.25">
      <c r="B43" s="8" t="s">
        <v>37</v>
      </c>
      <c r="C43" s="11">
        <f>SUM(C36:C42)</f>
        <v>22940</v>
      </c>
    </row>
    <row r="44" spans="2:7" x14ac:dyDescent="0.25">
      <c r="B44" s="8"/>
      <c r="C44" s="11"/>
    </row>
    <row r="45" spans="2:7" x14ac:dyDescent="0.25">
      <c r="B45" s="8"/>
      <c r="C45" s="11"/>
    </row>
    <row r="46" spans="2:7" x14ac:dyDescent="0.25">
      <c r="B46" s="1" t="s">
        <v>239</v>
      </c>
      <c r="C46" s="1"/>
      <c r="D46" s="1"/>
      <c r="E46" s="1"/>
      <c r="F46" s="1"/>
      <c r="G46" s="1"/>
    </row>
    <row r="47" spans="2:7" x14ac:dyDescent="0.25">
      <c r="B47" s="8" t="s">
        <v>241</v>
      </c>
      <c r="C47" s="7">
        <v>100000</v>
      </c>
    </row>
    <row r="48" spans="2:7" x14ac:dyDescent="0.25">
      <c r="B48" s="8" t="s">
        <v>242</v>
      </c>
      <c r="C48" s="381">
        <v>65000</v>
      </c>
    </row>
    <row r="49" spans="2:7" x14ac:dyDescent="0.25">
      <c r="B49" s="8" t="s">
        <v>243</v>
      </c>
      <c r="C49" s="381">
        <v>80000</v>
      </c>
    </row>
    <row r="50" spans="2:7" x14ac:dyDescent="0.25">
      <c r="B50" s="8"/>
      <c r="C50" s="381"/>
    </row>
    <row r="51" spans="2:7" x14ac:dyDescent="0.25">
      <c r="B51" s="8"/>
      <c r="C51" s="381"/>
    </row>
    <row r="53" spans="2:7" x14ac:dyDescent="0.25">
      <c r="B53" s="1" t="s">
        <v>38</v>
      </c>
      <c r="C53" s="1"/>
      <c r="D53" s="1"/>
      <c r="E53" s="1" t="s">
        <v>59</v>
      </c>
      <c r="F53" s="1" t="s">
        <v>60</v>
      </c>
      <c r="G53" s="1"/>
    </row>
    <row r="54" spans="2:7" x14ac:dyDescent="0.25">
      <c r="B54" t="s">
        <v>233</v>
      </c>
      <c r="C54" s="7">
        <v>2750</v>
      </c>
      <c r="D54" t="s">
        <v>39</v>
      </c>
    </row>
    <row r="55" spans="2:7" x14ac:dyDescent="0.25">
      <c r="B55" t="s">
        <v>40</v>
      </c>
      <c r="C55" s="7">
        <v>750</v>
      </c>
      <c r="D55" t="s">
        <v>39</v>
      </c>
    </row>
    <row r="56" spans="2:7" x14ac:dyDescent="0.25">
      <c r="B56" s="8" t="s">
        <v>41</v>
      </c>
      <c r="C56" s="11">
        <f>SUM(C54:C55)</f>
        <v>3500</v>
      </c>
      <c r="D56" t="s">
        <v>39</v>
      </c>
      <c r="E56" s="11">
        <f>C56*3</f>
        <v>10500</v>
      </c>
      <c r="F56" s="11">
        <f>C56*6</f>
        <v>21000</v>
      </c>
    </row>
    <row r="59" spans="2:7" x14ac:dyDescent="0.25">
      <c r="B59" s="1" t="s">
        <v>52</v>
      </c>
      <c r="C59" s="1"/>
      <c r="D59" s="1"/>
      <c r="E59" s="1" t="s">
        <v>59</v>
      </c>
      <c r="F59" s="1" t="s">
        <v>60</v>
      </c>
      <c r="G59" s="1"/>
    </row>
    <row r="60" spans="2:7" x14ac:dyDescent="0.25">
      <c r="B60" t="s">
        <v>44</v>
      </c>
      <c r="C60" s="7">
        <v>60</v>
      </c>
      <c r="D60" t="s">
        <v>39</v>
      </c>
    </row>
    <row r="61" spans="2:7" x14ac:dyDescent="0.25">
      <c r="B61" t="s">
        <v>45</v>
      </c>
      <c r="C61" s="7">
        <v>50</v>
      </c>
      <c r="D61" t="s">
        <v>39</v>
      </c>
    </row>
    <row r="62" spans="2:7" x14ac:dyDescent="0.25">
      <c r="B62" t="s">
        <v>46</v>
      </c>
      <c r="C62" s="7">
        <v>10</v>
      </c>
      <c r="D62" t="s">
        <v>39</v>
      </c>
    </row>
    <row r="63" spans="2:7" x14ac:dyDescent="0.25">
      <c r="B63" t="s">
        <v>47</v>
      </c>
      <c r="C63" s="7">
        <v>20</v>
      </c>
      <c r="D63" t="s">
        <v>39</v>
      </c>
    </row>
    <row r="64" spans="2:7" x14ac:dyDescent="0.25">
      <c r="B64" t="s">
        <v>48</v>
      </c>
      <c r="C64" s="7">
        <v>25</v>
      </c>
      <c r="D64" t="s">
        <v>39</v>
      </c>
    </row>
    <row r="65" spans="2:7" x14ac:dyDescent="0.25">
      <c r="B65" t="s">
        <v>49</v>
      </c>
      <c r="C65" s="7">
        <v>25</v>
      </c>
      <c r="D65" t="s">
        <v>39</v>
      </c>
    </row>
    <row r="66" spans="2:7" x14ac:dyDescent="0.25">
      <c r="B66" t="s">
        <v>50</v>
      </c>
      <c r="C66" s="7">
        <v>15</v>
      </c>
      <c r="D66" t="s">
        <v>39</v>
      </c>
    </row>
    <row r="67" spans="2:7" x14ac:dyDescent="0.25">
      <c r="B67" s="8" t="s">
        <v>51</v>
      </c>
      <c r="C67" s="11">
        <f>SUM(C60:C66)</f>
        <v>205</v>
      </c>
      <c r="E67" s="11">
        <f>C67*3</f>
        <v>615</v>
      </c>
      <c r="F67" s="11">
        <f>C67*6</f>
        <v>1230</v>
      </c>
    </row>
    <row r="70" spans="2:7" x14ac:dyDescent="0.25">
      <c r="B70" s="1" t="s">
        <v>53</v>
      </c>
      <c r="C70" s="1"/>
      <c r="D70" s="1"/>
      <c r="E70" s="1" t="s">
        <v>59</v>
      </c>
      <c r="F70" s="1" t="s">
        <v>60</v>
      </c>
      <c r="G70" s="1"/>
    </row>
    <row r="71" spans="2:7" x14ac:dyDescent="0.25">
      <c r="B71" t="s">
        <v>54</v>
      </c>
      <c r="C71" s="7">
        <v>25</v>
      </c>
      <c r="D71" t="s">
        <v>39</v>
      </c>
    </row>
    <row r="72" spans="2:7" x14ac:dyDescent="0.25">
      <c r="B72" t="s">
        <v>55</v>
      </c>
      <c r="C72" s="7">
        <v>50</v>
      </c>
      <c r="D72" t="s">
        <v>39</v>
      </c>
    </row>
    <row r="73" spans="2:7" x14ac:dyDescent="0.25">
      <c r="B73" t="s">
        <v>56</v>
      </c>
      <c r="C73" s="7">
        <v>25</v>
      </c>
      <c r="D73" t="s">
        <v>39</v>
      </c>
    </row>
    <row r="74" spans="2:7" x14ac:dyDescent="0.25">
      <c r="B74" t="s">
        <v>57</v>
      </c>
      <c r="C74" s="7">
        <v>25</v>
      </c>
      <c r="D74" t="s">
        <v>39</v>
      </c>
    </row>
    <row r="75" spans="2:7" x14ac:dyDescent="0.25">
      <c r="B75" s="8" t="s">
        <v>58</v>
      </c>
      <c r="C75" s="11">
        <f>SUM(C71:C74)</f>
        <v>125</v>
      </c>
      <c r="E75" s="11">
        <f>C75*3</f>
        <v>375</v>
      </c>
      <c r="F75" s="11">
        <f>C75*6</f>
        <v>750</v>
      </c>
    </row>
    <row r="78" spans="2:7" x14ac:dyDescent="0.25">
      <c r="B78" s="1" t="s">
        <v>244</v>
      </c>
      <c r="C78" s="1"/>
      <c r="D78" s="1"/>
      <c r="E78" s="1" t="s">
        <v>59</v>
      </c>
      <c r="F78" s="1" t="s">
        <v>60</v>
      </c>
      <c r="G78" s="1"/>
    </row>
    <row r="79" spans="2:7" x14ac:dyDescent="0.25">
      <c r="B79" t="s">
        <v>61</v>
      </c>
      <c r="C79" s="10">
        <f>C43</f>
        <v>22940</v>
      </c>
    </row>
    <row r="80" spans="2:7" x14ac:dyDescent="0.25">
      <c r="B80" t="s">
        <v>62</v>
      </c>
      <c r="C80" s="11">
        <f>C56+C67+C75</f>
        <v>3830</v>
      </c>
      <c r="E80" s="11">
        <f>C80*3</f>
        <v>11490</v>
      </c>
      <c r="F80" s="11">
        <f>C80*6</f>
        <v>22980</v>
      </c>
    </row>
    <row r="81" spans="2:7" x14ac:dyDescent="0.25">
      <c r="B81" t="s">
        <v>63</v>
      </c>
      <c r="C81" s="11">
        <f>C80*12</f>
        <v>45960</v>
      </c>
    </row>
    <row r="82" spans="2:7" x14ac:dyDescent="0.25">
      <c r="B82" t="str">
        <f>B47</f>
        <v>Founder CEO Base Annual Salary</v>
      </c>
      <c r="C82" s="11">
        <f>C47</f>
        <v>100000</v>
      </c>
    </row>
    <row r="83" spans="2:7" x14ac:dyDescent="0.25">
      <c r="B83" t="str">
        <f t="shared" ref="B83:C84" si="0">B48</f>
        <v>Contract DEV Support (YR1 MVP Build)</v>
      </c>
      <c r="C83" s="11">
        <f t="shared" si="0"/>
        <v>65000</v>
      </c>
    </row>
    <row r="84" spans="2:7" x14ac:dyDescent="0.25">
      <c r="B84" t="str">
        <f t="shared" si="0"/>
        <v>Product Enhancement &amp; Major Feature DEV BUDGET (Annual)</v>
      </c>
      <c r="C84" s="11">
        <f t="shared" si="0"/>
        <v>80000</v>
      </c>
    </row>
    <row r="87" spans="2:7" x14ac:dyDescent="0.25">
      <c r="B87" s="1" t="s">
        <v>66</v>
      </c>
      <c r="C87" s="1"/>
      <c r="D87" s="1"/>
      <c r="E87" s="1"/>
      <c r="F87" s="1"/>
      <c r="G87" s="1"/>
    </row>
    <row r="88" spans="2:7" x14ac:dyDescent="0.25">
      <c r="B88" t="s">
        <v>64</v>
      </c>
      <c r="C88" s="10">
        <f>C79+E80</f>
        <v>34430</v>
      </c>
    </row>
    <row r="89" spans="2:7" x14ac:dyDescent="0.25">
      <c r="B89" t="s">
        <v>65</v>
      </c>
      <c r="C89" s="10">
        <f>C79+F80</f>
        <v>45920</v>
      </c>
    </row>
  </sheetData>
  <mergeCells count="4">
    <mergeCell ref="H1:L1"/>
    <mergeCell ref="H16:L16"/>
    <mergeCell ref="D1:G1"/>
    <mergeCell ref="D6:G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59C68-02E6-43E8-A4D9-BACCDFDB587F}">
  <dimension ref="B1:F24"/>
  <sheetViews>
    <sheetView workbookViewId="0">
      <selection activeCell="C33" sqref="C33"/>
    </sheetView>
  </sheetViews>
  <sheetFormatPr defaultRowHeight="15" x14ac:dyDescent="0.25"/>
  <cols>
    <col min="2" max="2" width="43.85546875" customWidth="1"/>
    <col min="3" max="3" width="16.28515625" customWidth="1"/>
    <col min="4" max="4" width="14" customWidth="1"/>
    <col min="6" max="6" width="12.7109375" customWidth="1"/>
    <col min="9" max="15" width="9.140625" customWidth="1"/>
  </cols>
  <sheetData>
    <row r="1" spans="2:6" x14ac:dyDescent="0.25">
      <c r="B1" s="1" t="s">
        <v>67</v>
      </c>
      <c r="C1" s="1" t="s">
        <v>1</v>
      </c>
    </row>
    <row r="2" spans="2:6" x14ac:dyDescent="0.25">
      <c r="B2" t="s">
        <v>74</v>
      </c>
      <c r="C2" s="7">
        <f>'Cost and Key Assumptions'!C56*12</f>
        <v>42000</v>
      </c>
    </row>
    <row r="3" spans="2:6" x14ac:dyDescent="0.25">
      <c r="B3" t="s">
        <v>68</v>
      </c>
      <c r="C3" s="7">
        <f>'Cost and Key Assumptions'!C67*12</f>
        <v>2460</v>
      </c>
    </row>
    <row r="4" spans="2:6" x14ac:dyDescent="0.25">
      <c r="B4" t="s">
        <v>69</v>
      </c>
      <c r="C4" s="7">
        <f>'Cost and Key Assumptions'!C75*12</f>
        <v>1500</v>
      </c>
    </row>
    <row r="5" spans="2:6" x14ac:dyDescent="0.25">
      <c r="B5" t="s">
        <v>135</v>
      </c>
      <c r="C5" s="2">
        <f>'Cost and Key Assumptions'!C25</f>
        <v>0.59399999999999997</v>
      </c>
    </row>
    <row r="6" spans="2:6" x14ac:dyDescent="0.25">
      <c r="B6" t="s">
        <v>70</v>
      </c>
      <c r="C6" s="2">
        <f>'Cost and Key Assumptions'!C81</f>
        <v>45960</v>
      </c>
    </row>
    <row r="7" spans="2:6" x14ac:dyDescent="0.25">
      <c r="B7" t="s">
        <v>71</v>
      </c>
      <c r="C7">
        <f>'Cost and Key Assumptions'!C2</f>
        <v>10000</v>
      </c>
    </row>
    <row r="8" spans="2:6" x14ac:dyDescent="0.25">
      <c r="B8" t="s">
        <v>72</v>
      </c>
      <c r="C8" s="2">
        <f>C6/C7</f>
        <v>4.5960000000000001</v>
      </c>
    </row>
    <row r="9" spans="2:6" x14ac:dyDescent="0.25">
      <c r="B9" t="s">
        <v>73</v>
      </c>
      <c r="C9" s="2">
        <f>C8/2</f>
        <v>2.298</v>
      </c>
    </row>
    <row r="10" spans="2:6" x14ac:dyDescent="0.25">
      <c r="B10" t="s">
        <v>82</v>
      </c>
      <c r="C10" s="2">
        <f>'Cost and Key Assumptions'!C43</f>
        <v>22940</v>
      </c>
    </row>
    <row r="11" spans="2:6" x14ac:dyDescent="0.25">
      <c r="B11" t="s">
        <v>86</v>
      </c>
      <c r="C11" s="2">
        <f>C6+C10</f>
        <v>68900</v>
      </c>
    </row>
    <row r="12" spans="2:6" x14ac:dyDescent="0.25">
      <c r="B12" t="s">
        <v>115</v>
      </c>
      <c r="C12" s="2">
        <f>C5</f>
        <v>0.59399999999999997</v>
      </c>
    </row>
    <row r="13" spans="2:6" x14ac:dyDescent="0.25">
      <c r="B13" t="s">
        <v>97</v>
      </c>
      <c r="C13" s="2">
        <f>E18-C6-(C7*C5)</f>
        <v>188100</v>
      </c>
    </row>
    <row r="14" spans="2:6" x14ac:dyDescent="0.25">
      <c r="B14" t="s">
        <v>238</v>
      </c>
      <c r="C14" s="2">
        <f>0.03*E18</f>
        <v>7200</v>
      </c>
    </row>
    <row r="15" spans="2:6" x14ac:dyDescent="0.25">
      <c r="C15" s="7"/>
    </row>
    <row r="16" spans="2:6" x14ac:dyDescent="0.25">
      <c r="B16" s="1" t="s">
        <v>75</v>
      </c>
      <c r="C16" s="1" t="s">
        <v>78</v>
      </c>
      <c r="D16" s="1" t="s">
        <v>76</v>
      </c>
      <c r="E16" s="1" t="s">
        <v>77</v>
      </c>
      <c r="F16" s="1" t="s">
        <v>277</v>
      </c>
    </row>
    <row r="17" spans="2:6" x14ac:dyDescent="0.25">
      <c r="B17" t="s">
        <v>79</v>
      </c>
      <c r="C17" s="3">
        <v>2.5950000000000006</v>
      </c>
      <c r="D17" s="7">
        <f>C17*2</f>
        <v>5.1900000000000013</v>
      </c>
      <c r="E17" s="7">
        <f>D17*$C$7</f>
        <v>51900.000000000015</v>
      </c>
      <c r="F17" s="2">
        <f>E17-$C$6-($C$5*$C$7)</f>
        <v>1.4551915228366852E-11</v>
      </c>
    </row>
    <row r="18" spans="2:6" x14ac:dyDescent="0.25">
      <c r="B18" t="s">
        <v>80</v>
      </c>
      <c r="C18" s="7">
        <v>12</v>
      </c>
      <c r="D18" s="7">
        <f>C18*2</f>
        <v>24</v>
      </c>
      <c r="E18" s="7">
        <f>D18*$C$7</f>
        <v>240000</v>
      </c>
      <c r="F18" s="2">
        <f t="shared" ref="F18:F19" si="0">E18-$C$6</f>
        <v>194040</v>
      </c>
    </row>
    <row r="19" spans="2:6" x14ac:dyDescent="0.25">
      <c r="B19" t="s">
        <v>81</v>
      </c>
      <c r="C19" s="7">
        <v>16</v>
      </c>
      <c r="D19" s="7">
        <f>C19*2</f>
        <v>32</v>
      </c>
      <c r="E19" s="7">
        <f t="shared" ref="E19" si="1">D19*$C$7</f>
        <v>320000</v>
      </c>
      <c r="F19" s="2">
        <f t="shared" si="0"/>
        <v>274040</v>
      </c>
    </row>
    <row r="20" spans="2:6" x14ac:dyDescent="0.25">
      <c r="B20" t="s">
        <v>83</v>
      </c>
      <c r="C20" s="7">
        <v>10000</v>
      </c>
      <c r="D20" s="6" t="s">
        <v>84</v>
      </c>
      <c r="E20" s="6" t="s">
        <v>84</v>
      </c>
      <c r="F20" s="6" t="s">
        <v>84</v>
      </c>
    </row>
    <row r="22" spans="2:6" x14ac:dyDescent="0.25">
      <c r="B22" s="1" t="s">
        <v>85</v>
      </c>
      <c r="C22" s="1"/>
      <c r="D22" s="1"/>
      <c r="E22" s="1"/>
      <c r="F22" s="1"/>
    </row>
    <row r="23" spans="2:6" x14ac:dyDescent="0.25">
      <c r="B23" t="s">
        <v>88</v>
      </c>
      <c r="C23" s="2">
        <v>12</v>
      </c>
      <c r="D23" s="7">
        <f>C23*2</f>
        <v>24</v>
      </c>
      <c r="E23" s="7">
        <f>D23*C7</f>
        <v>240000</v>
      </c>
      <c r="F23" s="2">
        <f>E23-C10-C6-($C$5*$C$7)</f>
        <v>165160</v>
      </c>
    </row>
    <row r="24" spans="2:6" x14ac:dyDescent="0.25">
      <c r="B24" t="s">
        <v>87</v>
      </c>
      <c r="C24" s="7">
        <f>C18</f>
        <v>12</v>
      </c>
      <c r="D24" s="7">
        <f>C24*2</f>
        <v>24</v>
      </c>
      <c r="E24" s="7">
        <f>D24*C7</f>
        <v>240000</v>
      </c>
      <c r="F24" s="2">
        <f>E24-C6</f>
        <v>194040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BA04-C43B-4777-83EB-365C728A5714}">
  <dimension ref="A1:L62"/>
  <sheetViews>
    <sheetView topLeftCell="A7" workbookViewId="0">
      <selection activeCell="A31" sqref="A31"/>
    </sheetView>
  </sheetViews>
  <sheetFormatPr defaultRowHeight="15" x14ac:dyDescent="0.25"/>
  <cols>
    <col min="1" max="1" width="63.7109375" customWidth="1"/>
    <col min="2" max="2" width="12.140625" bestFit="1" customWidth="1"/>
    <col min="3" max="3" width="13.28515625" customWidth="1"/>
    <col min="4" max="4" width="10.140625" bestFit="1" customWidth="1"/>
    <col min="5" max="5" width="12.42578125" customWidth="1"/>
    <col min="6" max="6" width="14.28515625" customWidth="1"/>
    <col min="7" max="7" width="11.7109375" customWidth="1"/>
    <col min="8" max="8" width="10.85546875" customWidth="1"/>
    <col min="10" max="10" width="14.85546875" customWidth="1"/>
    <col min="11" max="11" width="10.42578125" customWidth="1"/>
    <col min="12" max="12" width="10.5703125" customWidth="1"/>
  </cols>
  <sheetData>
    <row r="1" spans="1:7" x14ac:dyDescent="0.25">
      <c r="A1" s="12" t="s">
        <v>113</v>
      </c>
      <c r="B1" s="13"/>
      <c r="C1" s="14"/>
      <c r="D1" s="14"/>
      <c r="E1" s="14"/>
      <c r="F1" s="14"/>
      <c r="G1" s="14"/>
    </row>
    <row r="2" spans="1:7" x14ac:dyDescent="0.25">
      <c r="A2" s="13"/>
      <c r="B2" s="13"/>
      <c r="C2" s="14"/>
      <c r="D2" s="14"/>
      <c r="E2" s="14"/>
      <c r="F2" s="14"/>
      <c r="G2" s="14"/>
    </row>
    <row r="3" spans="1:7" x14ac:dyDescent="0.25">
      <c r="A3" s="15" t="s">
        <v>0</v>
      </c>
      <c r="B3" s="16"/>
      <c r="C3" s="14"/>
      <c r="D3" s="14"/>
      <c r="E3" s="14"/>
      <c r="F3" s="14"/>
      <c r="G3" s="14"/>
    </row>
    <row r="4" spans="1:7" x14ac:dyDescent="0.25">
      <c r="A4" s="17" t="s">
        <v>89</v>
      </c>
      <c r="B4" s="18">
        <f>'Revenue Model'!C10</f>
        <v>22940</v>
      </c>
      <c r="C4" s="14"/>
      <c r="D4" s="14"/>
      <c r="E4" s="14"/>
      <c r="F4" s="14"/>
      <c r="G4" s="14"/>
    </row>
    <row r="5" spans="1:7" x14ac:dyDescent="0.25">
      <c r="A5" s="19" t="s">
        <v>90</v>
      </c>
      <c r="B5" s="20">
        <v>5</v>
      </c>
      <c r="C5" s="14"/>
      <c r="D5" s="14"/>
      <c r="E5" s="14"/>
      <c r="F5" s="14"/>
      <c r="G5" s="14"/>
    </row>
    <row r="6" spans="1:7" x14ac:dyDescent="0.25">
      <c r="A6" s="19" t="s">
        <v>91</v>
      </c>
      <c r="B6" s="20">
        <f>B4/B5</f>
        <v>4588</v>
      </c>
      <c r="C6" s="14"/>
      <c r="D6" s="14"/>
      <c r="E6" s="14"/>
      <c r="F6" s="14"/>
      <c r="G6" s="14"/>
    </row>
    <row r="7" spans="1:7" x14ac:dyDescent="0.25">
      <c r="A7" s="13" t="s">
        <v>157</v>
      </c>
      <c r="B7" s="21">
        <f>('Revenue Model'!C13)/('Revenue Model'!C20+'Revenue Model'!E18)</f>
        <v>0.75239999999999996</v>
      </c>
      <c r="C7" s="14"/>
      <c r="D7" s="14"/>
      <c r="E7" s="14"/>
      <c r="F7" s="14"/>
      <c r="G7" s="14"/>
    </row>
    <row r="8" spans="1:7" x14ac:dyDescent="0.25">
      <c r="A8" s="13" t="s">
        <v>245</v>
      </c>
      <c r="B8" s="36">
        <f>'Revenue Model'!C6</f>
        <v>45960</v>
      </c>
      <c r="C8" s="14"/>
      <c r="D8" s="14"/>
      <c r="E8" s="14"/>
      <c r="F8" s="14"/>
      <c r="G8" s="14"/>
    </row>
    <row r="9" spans="1:7" x14ac:dyDescent="0.25">
      <c r="A9" s="13" t="s">
        <v>240</v>
      </c>
      <c r="B9" s="36">
        <f>'Cost and Key Assumptions'!C47</f>
        <v>100000</v>
      </c>
      <c r="C9" s="14"/>
      <c r="D9" s="14"/>
      <c r="E9" s="14"/>
      <c r="F9" s="14"/>
      <c r="G9" s="14"/>
    </row>
    <row r="10" spans="1:7" x14ac:dyDescent="0.25">
      <c r="A10" s="13" t="s">
        <v>246</v>
      </c>
      <c r="B10" s="36">
        <f>'Cost and Key Assumptions'!C48</f>
        <v>65000</v>
      </c>
      <c r="C10" s="14"/>
      <c r="D10" s="14"/>
      <c r="E10" s="14"/>
      <c r="F10" s="14"/>
      <c r="G10" s="14"/>
    </row>
    <row r="11" spans="1:7" x14ac:dyDescent="0.25">
      <c r="A11" s="13" t="s">
        <v>247</v>
      </c>
      <c r="B11" s="36">
        <f>'Cost and Key Assumptions'!C49</f>
        <v>80000</v>
      </c>
      <c r="C11" s="14"/>
      <c r="D11" s="14"/>
      <c r="E11" s="14"/>
      <c r="F11" s="14"/>
      <c r="G11" s="14"/>
    </row>
    <row r="12" spans="1:7" x14ac:dyDescent="0.25">
      <c r="A12" s="19" t="s">
        <v>136</v>
      </c>
      <c r="B12" s="92">
        <f>'Revenue Model'!C5</f>
        <v>0.59399999999999997</v>
      </c>
      <c r="C12" s="14"/>
      <c r="D12" s="14"/>
      <c r="E12" s="14"/>
      <c r="F12" s="14"/>
      <c r="G12" s="14"/>
    </row>
    <row r="13" spans="1:7" x14ac:dyDescent="0.25">
      <c r="A13" s="19" t="s">
        <v>128</v>
      </c>
      <c r="B13" s="91">
        <f>'Revenue Model'!D18</f>
        <v>24</v>
      </c>
      <c r="C13" s="14"/>
      <c r="D13" s="14"/>
      <c r="E13" s="14"/>
      <c r="F13" s="14"/>
      <c r="G13" s="14"/>
    </row>
    <row r="14" spans="1:7" x14ac:dyDescent="0.25">
      <c r="A14" s="19" t="s">
        <v>129</v>
      </c>
      <c r="B14" s="18">
        <f>'Revenue Model'!C7</f>
        <v>10000</v>
      </c>
      <c r="C14" s="14"/>
      <c r="D14" s="14"/>
      <c r="E14" s="14"/>
      <c r="F14" s="14"/>
      <c r="G14" s="14"/>
    </row>
    <row r="15" spans="1:7" x14ac:dyDescent="0.25">
      <c r="A15" s="19" t="s">
        <v>114</v>
      </c>
      <c r="B15" s="18">
        <f>'Revenue Model'!C14</f>
        <v>7200</v>
      </c>
      <c r="C15" s="14"/>
      <c r="D15" s="14"/>
      <c r="E15" s="14"/>
      <c r="F15" s="14"/>
      <c r="G15" s="14"/>
    </row>
    <row r="16" spans="1:7" x14ac:dyDescent="0.25">
      <c r="A16" s="22" t="s">
        <v>92</v>
      </c>
      <c r="B16" s="23">
        <v>0.21</v>
      </c>
      <c r="C16" s="14"/>
      <c r="D16" s="14"/>
      <c r="E16" s="14"/>
      <c r="F16" s="14"/>
      <c r="G16" s="14"/>
    </row>
    <row r="17" spans="1:10" x14ac:dyDescent="0.25">
      <c r="A17" s="22" t="s">
        <v>93</v>
      </c>
      <c r="B17" s="23">
        <v>0.18</v>
      </c>
      <c r="C17" s="23"/>
      <c r="D17" s="23"/>
      <c r="E17" s="14"/>
      <c r="F17" s="14"/>
      <c r="G17" s="14"/>
    </row>
    <row r="18" spans="1:10" x14ac:dyDescent="0.25">
      <c r="A18" s="19" t="s">
        <v>116</v>
      </c>
      <c r="B18" s="18">
        <f>'Revenue Model'!E23</f>
        <v>240000</v>
      </c>
      <c r="C18" s="14"/>
      <c r="D18" s="14"/>
      <c r="E18" s="14"/>
      <c r="F18" s="14"/>
      <c r="G18" s="14"/>
    </row>
    <row r="19" spans="1:10" x14ac:dyDescent="0.25">
      <c r="A19" s="19" t="s">
        <v>130</v>
      </c>
      <c r="B19" s="18">
        <f>'Revenue Model'!D17</f>
        <v>5.1900000000000013</v>
      </c>
      <c r="C19" s="14"/>
      <c r="D19" s="14"/>
      <c r="E19" s="14"/>
      <c r="F19" s="14"/>
      <c r="G19" s="14"/>
    </row>
    <row r="20" spans="1:10" x14ac:dyDescent="0.25">
      <c r="A20" s="19" t="s">
        <v>83</v>
      </c>
      <c r="B20" s="18">
        <f>'Revenue Model'!C20</f>
        <v>10000</v>
      </c>
      <c r="C20" s="14"/>
      <c r="D20" s="14"/>
      <c r="E20" s="14"/>
      <c r="F20" s="14"/>
      <c r="G20" s="14"/>
    </row>
    <row r="21" spans="1:10" x14ac:dyDescent="0.25">
      <c r="A21" s="24" t="s">
        <v>279</v>
      </c>
      <c r="B21" s="25"/>
      <c r="C21" s="23">
        <v>0</v>
      </c>
      <c r="D21" s="23">
        <v>0.4</v>
      </c>
      <c r="E21" s="23">
        <v>0.4</v>
      </c>
      <c r="F21" s="23">
        <v>0.4</v>
      </c>
      <c r="G21" s="23">
        <v>0.2</v>
      </c>
    </row>
    <row r="22" spans="1:10" x14ac:dyDescent="0.25">
      <c r="A22" s="13"/>
      <c r="B22" s="26" t="s">
        <v>94</v>
      </c>
      <c r="C22" s="26" t="s">
        <v>94</v>
      </c>
      <c r="D22" s="26" t="s">
        <v>94</v>
      </c>
      <c r="E22" s="26" t="s">
        <v>94</v>
      </c>
      <c r="F22" s="26" t="s">
        <v>94</v>
      </c>
      <c r="G22" s="26" t="s">
        <v>94</v>
      </c>
    </row>
    <row r="23" spans="1:10" x14ac:dyDescent="0.25">
      <c r="A23" s="13"/>
      <c r="B23" s="26">
        <v>2026</v>
      </c>
      <c r="C23" s="26">
        <f>B23+1</f>
        <v>2027</v>
      </c>
      <c r="D23" s="26">
        <f>C23+1</f>
        <v>2028</v>
      </c>
      <c r="E23" s="26">
        <f>D23+1</f>
        <v>2029</v>
      </c>
      <c r="F23" s="26">
        <f>E23+1</f>
        <v>2030</v>
      </c>
      <c r="G23" s="26">
        <f>F23+1</f>
        <v>2031</v>
      </c>
    </row>
    <row r="24" spans="1:10" x14ac:dyDescent="0.25">
      <c r="A24" s="27" t="s">
        <v>95</v>
      </c>
      <c r="B24" s="28">
        <v>0</v>
      </c>
      <c r="C24" s="28">
        <v>1</v>
      </c>
      <c r="D24" s="28">
        <v>2</v>
      </c>
      <c r="E24" s="28">
        <v>3</v>
      </c>
      <c r="F24" s="28">
        <v>4</v>
      </c>
      <c r="G24" s="28">
        <v>5</v>
      </c>
    </row>
    <row r="25" spans="1:10" x14ac:dyDescent="0.25">
      <c r="A25" s="13" t="s">
        <v>227</v>
      </c>
      <c r="B25" s="354"/>
      <c r="C25" s="355">
        <v>1</v>
      </c>
      <c r="D25" s="355">
        <v>2</v>
      </c>
      <c r="E25" s="355">
        <v>3</v>
      </c>
      <c r="F25" s="355">
        <v>4</v>
      </c>
      <c r="G25" s="355">
        <v>5</v>
      </c>
    </row>
    <row r="26" spans="1:10" x14ac:dyDescent="0.25">
      <c r="A26" s="13" t="s">
        <v>228</v>
      </c>
      <c r="B26" s="354"/>
      <c r="C26" s="355">
        <f>C25*$B$20</f>
        <v>10000</v>
      </c>
      <c r="D26" s="355">
        <f t="shared" ref="D26:G26" si="0">D25*$B$20</f>
        <v>20000</v>
      </c>
      <c r="E26" s="355">
        <f t="shared" si="0"/>
        <v>30000</v>
      </c>
      <c r="F26" s="355">
        <f t="shared" si="0"/>
        <v>40000</v>
      </c>
      <c r="G26" s="355">
        <f t="shared" si="0"/>
        <v>50000</v>
      </c>
    </row>
    <row r="27" spans="1:10" x14ac:dyDescent="0.25">
      <c r="A27" s="19" t="s">
        <v>96</v>
      </c>
      <c r="B27" s="29"/>
      <c r="C27" s="30" cm="1">
        <f t="array" ref="C27">($B$20*C25) + ($B$14*$B$13*PRODUCT(1+$C$21:C$21))</f>
        <v>250000</v>
      </c>
      <c r="D27" s="30" cm="1">
        <f t="array" ref="D27">($B$20*D25) + ($B$14*$B$13*PRODUCT(1+$C$21:D$21))</f>
        <v>356000</v>
      </c>
      <c r="E27" s="30" cm="1">
        <f t="array" ref="E27">($B$20*E25) + ($B$14*$B$13*PRODUCT(1+$C$21:E$21))</f>
        <v>500399.99999999994</v>
      </c>
      <c r="F27" s="30" cm="1">
        <f t="array" ref="F27">($B$20*F25) + ($B$14*$B$13*PRODUCT(1+$C$21:F$21))</f>
        <v>698559.99999999988</v>
      </c>
      <c r="G27" s="30" cm="1">
        <f t="array" ref="G27">($B$20*G25) + ($B$14*$B$13*PRODUCT(1+$C$21:G$21))</f>
        <v>840271.99999999988</v>
      </c>
    </row>
    <row r="28" spans="1:10" x14ac:dyDescent="0.25">
      <c r="A28" s="19" t="s">
        <v>137</v>
      </c>
      <c r="B28" s="29"/>
      <c r="C28" s="30">
        <f>$B$12*$B$14</f>
        <v>5940</v>
      </c>
      <c r="D28" s="30">
        <f t="shared" ref="D28:G28" si="1">$B$12*$B$14</f>
        <v>5940</v>
      </c>
      <c r="E28" s="30">
        <f t="shared" si="1"/>
        <v>5940</v>
      </c>
      <c r="F28" s="30">
        <f t="shared" si="1"/>
        <v>5940</v>
      </c>
      <c r="G28" s="30">
        <f t="shared" si="1"/>
        <v>5940</v>
      </c>
      <c r="J28" t="s">
        <v>280</v>
      </c>
    </row>
    <row r="29" spans="1:10" x14ac:dyDescent="0.25">
      <c r="A29" s="19" t="s">
        <v>131</v>
      </c>
      <c r="B29" s="29"/>
      <c r="C29" s="30">
        <f>$B$8+$B$9+$B$10</f>
        <v>210960</v>
      </c>
      <c r="D29" s="30">
        <f>$B$8+$B$9+$B$11</f>
        <v>225960</v>
      </c>
      <c r="E29" s="30">
        <f t="shared" ref="E29:G29" si="2">$B$8+$B$9+$B$11</f>
        <v>225960</v>
      </c>
      <c r="F29" s="30">
        <f t="shared" si="2"/>
        <v>225960</v>
      </c>
      <c r="G29" s="30">
        <f t="shared" si="2"/>
        <v>225960</v>
      </c>
    </row>
    <row r="30" spans="1:10" x14ac:dyDescent="0.25">
      <c r="A30" s="19" t="s">
        <v>97</v>
      </c>
      <c r="B30" s="29"/>
      <c r="C30" s="30">
        <f>C27-C28-C29</f>
        <v>33100</v>
      </c>
      <c r="D30" s="30">
        <f t="shared" ref="D30:G30" si="3">D27-D28-D29</f>
        <v>124100</v>
      </c>
      <c r="E30" s="30">
        <f t="shared" si="3"/>
        <v>268499.99999999994</v>
      </c>
      <c r="F30" s="30">
        <f t="shared" si="3"/>
        <v>466659.99999999988</v>
      </c>
      <c r="G30" s="30">
        <f t="shared" si="3"/>
        <v>608371.99999999988</v>
      </c>
    </row>
    <row r="31" spans="1:10" x14ac:dyDescent="0.25">
      <c r="A31" s="19" t="s">
        <v>98</v>
      </c>
      <c r="B31" s="29"/>
      <c r="C31" s="30">
        <f>$B$6</f>
        <v>4588</v>
      </c>
      <c r="D31" s="30">
        <f t="shared" ref="D31:G31" si="4">$B$6</f>
        <v>4588</v>
      </c>
      <c r="E31" s="30">
        <f t="shared" si="4"/>
        <v>4588</v>
      </c>
      <c r="F31" s="30">
        <f t="shared" si="4"/>
        <v>4588</v>
      </c>
      <c r="G31" s="30">
        <f t="shared" si="4"/>
        <v>4588</v>
      </c>
    </row>
    <row r="32" spans="1:10" x14ac:dyDescent="0.25">
      <c r="A32" s="19" t="s">
        <v>99</v>
      </c>
      <c r="B32" s="29"/>
      <c r="C32" s="30">
        <f>(C30-C31)*$B$16</f>
        <v>5987.5199999999995</v>
      </c>
      <c r="D32" s="30">
        <f t="shared" ref="D32:G32" si="5">(D30-D31)*$B$16</f>
        <v>25097.52</v>
      </c>
      <c r="E32" s="30">
        <f t="shared" si="5"/>
        <v>55421.519999999982</v>
      </c>
      <c r="F32" s="30">
        <f t="shared" si="5"/>
        <v>97035.119999999966</v>
      </c>
      <c r="G32" s="30">
        <f t="shared" si="5"/>
        <v>126794.63999999997</v>
      </c>
    </row>
    <row r="33" spans="1:7" x14ac:dyDescent="0.25">
      <c r="A33" s="13" t="s">
        <v>100</v>
      </c>
      <c r="B33" s="29"/>
      <c r="C33" s="30">
        <f>(C30-C31)*(1-$B$16)</f>
        <v>22524.48</v>
      </c>
      <c r="D33" s="30">
        <f t="shared" ref="D33:G33" si="6">(D30-D31)*(1-$B$16)</f>
        <v>94414.48000000001</v>
      </c>
      <c r="E33" s="30">
        <f t="shared" si="6"/>
        <v>208490.47999999995</v>
      </c>
      <c r="F33" s="30">
        <f t="shared" si="6"/>
        <v>365036.87999999995</v>
      </c>
      <c r="G33" s="30">
        <f t="shared" si="6"/>
        <v>476989.35999999993</v>
      </c>
    </row>
    <row r="34" spans="1:7" x14ac:dyDescent="0.25">
      <c r="A34" s="19"/>
      <c r="B34" s="29"/>
      <c r="C34" s="29"/>
      <c r="D34" s="29"/>
      <c r="E34" s="29"/>
      <c r="F34" s="29"/>
      <c r="G34" s="29"/>
    </row>
    <row r="35" spans="1:7" x14ac:dyDescent="0.25">
      <c r="A35" s="31" t="s">
        <v>101</v>
      </c>
      <c r="B35" s="29"/>
      <c r="C35" s="29"/>
      <c r="D35" s="29"/>
      <c r="E35" s="29"/>
      <c r="F35" s="29"/>
      <c r="G35" s="29"/>
    </row>
    <row r="36" spans="1:7" x14ac:dyDescent="0.25">
      <c r="A36" s="13" t="s">
        <v>102</v>
      </c>
      <c r="B36" s="30">
        <f>B15</f>
        <v>7200</v>
      </c>
      <c r="C36" s="30">
        <f>0.03*C27</f>
        <v>7500</v>
      </c>
      <c r="D36" s="30">
        <f t="shared" ref="D36:G36" si="7">0.03*D27</f>
        <v>10680</v>
      </c>
      <c r="E36" s="30">
        <f t="shared" si="7"/>
        <v>15011.999999999998</v>
      </c>
      <c r="F36" s="30">
        <f t="shared" si="7"/>
        <v>20956.799999999996</v>
      </c>
      <c r="G36" s="30">
        <f t="shared" si="7"/>
        <v>25208.159999999996</v>
      </c>
    </row>
    <row r="37" spans="1:7" x14ac:dyDescent="0.25">
      <c r="A37" s="13" t="s">
        <v>103</v>
      </c>
      <c r="B37" s="29"/>
      <c r="C37" s="30">
        <f>C36-B36</f>
        <v>300</v>
      </c>
      <c r="D37" s="30">
        <f t="shared" ref="D37:F37" si="8">D36-C36</f>
        <v>3180</v>
      </c>
      <c r="E37" s="30">
        <f t="shared" si="8"/>
        <v>4331.9999999999982</v>
      </c>
      <c r="F37" s="30">
        <f t="shared" si="8"/>
        <v>5944.7999999999975</v>
      </c>
      <c r="G37" s="30">
        <f>G36-F36</f>
        <v>4251.3600000000006</v>
      </c>
    </row>
    <row r="38" spans="1:7" x14ac:dyDescent="0.25">
      <c r="A38" s="13" t="s">
        <v>104</v>
      </c>
      <c r="B38" s="29"/>
      <c r="C38" s="30">
        <f>-C37</f>
        <v>-300</v>
      </c>
      <c r="D38" s="30">
        <f t="shared" ref="D38:G38" si="9">-D37</f>
        <v>-3180</v>
      </c>
      <c r="E38" s="30">
        <f t="shared" si="9"/>
        <v>-4331.9999999999982</v>
      </c>
      <c r="F38" s="30">
        <f t="shared" si="9"/>
        <v>-5944.7999999999975</v>
      </c>
      <c r="G38" s="30">
        <f t="shared" si="9"/>
        <v>-4251.3600000000006</v>
      </c>
    </row>
    <row r="39" spans="1:7" x14ac:dyDescent="0.25">
      <c r="A39" s="13"/>
      <c r="B39" s="29"/>
      <c r="C39" s="29"/>
      <c r="D39" s="29"/>
      <c r="E39" s="29"/>
      <c r="F39" s="29"/>
      <c r="G39" s="29"/>
    </row>
    <row r="40" spans="1:7" x14ac:dyDescent="0.25">
      <c r="A40" s="32" t="s">
        <v>105</v>
      </c>
      <c r="B40" s="29"/>
      <c r="C40" s="29"/>
      <c r="D40" s="29"/>
      <c r="E40" s="29"/>
      <c r="F40" s="29"/>
      <c r="G40" s="29"/>
    </row>
    <row r="41" spans="1:7" x14ac:dyDescent="0.25">
      <c r="A41" s="13" t="s">
        <v>100</v>
      </c>
      <c r="B41" s="33"/>
      <c r="C41" s="30">
        <f>C33</f>
        <v>22524.48</v>
      </c>
      <c r="D41" s="30">
        <f t="shared" ref="D41:G41" si="10">D33</f>
        <v>94414.48000000001</v>
      </c>
      <c r="E41" s="30">
        <f t="shared" si="10"/>
        <v>208490.47999999995</v>
      </c>
      <c r="F41" s="30">
        <f t="shared" si="10"/>
        <v>365036.87999999995</v>
      </c>
      <c r="G41" s="30">
        <f t="shared" si="10"/>
        <v>476989.35999999993</v>
      </c>
    </row>
    <row r="42" spans="1:7" x14ac:dyDescent="0.25">
      <c r="A42" s="13" t="s">
        <v>106</v>
      </c>
      <c r="B42" s="29"/>
      <c r="C42" s="30">
        <f>C31</f>
        <v>4588</v>
      </c>
      <c r="D42" s="30">
        <f t="shared" ref="D42:G42" si="11">D31</f>
        <v>4588</v>
      </c>
      <c r="E42" s="30">
        <f t="shared" si="11"/>
        <v>4588</v>
      </c>
      <c r="F42" s="30">
        <f t="shared" si="11"/>
        <v>4588</v>
      </c>
      <c r="G42" s="30">
        <f t="shared" si="11"/>
        <v>4588</v>
      </c>
    </row>
    <row r="43" spans="1:7" x14ac:dyDescent="0.25">
      <c r="A43" s="13" t="s">
        <v>107</v>
      </c>
      <c r="B43" s="29"/>
      <c r="C43" s="30">
        <f>C37</f>
        <v>300</v>
      </c>
      <c r="D43" s="30">
        <f>D37</f>
        <v>3180</v>
      </c>
      <c r="E43" s="30">
        <f t="shared" ref="E43:G43" si="12">E37</f>
        <v>4331.9999999999982</v>
      </c>
      <c r="F43" s="30">
        <f t="shared" si="12"/>
        <v>5944.7999999999975</v>
      </c>
      <c r="G43" s="30">
        <f t="shared" si="12"/>
        <v>4251.3600000000006</v>
      </c>
    </row>
    <row r="44" spans="1:7" x14ac:dyDescent="0.25">
      <c r="A44" s="13" t="s">
        <v>108</v>
      </c>
      <c r="B44" s="30">
        <f>B4</f>
        <v>22940</v>
      </c>
      <c r="C44" s="29">
        <v>0</v>
      </c>
      <c r="D44" s="29">
        <v>0</v>
      </c>
      <c r="E44" s="29">
        <v>0</v>
      </c>
      <c r="F44" s="29">
        <v>0</v>
      </c>
      <c r="G44" s="29">
        <v>0</v>
      </c>
    </row>
    <row r="45" spans="1:7" x14ac:dyDescent="0.25">
      <c r="A45" s="12" t="s">
        <v>109</v>
      </c>
      <c r="B45" s="30">
        <f>-(B44+B36)</f>
        <v>-30140</v>
      </c>
      <c r="C45" s="30">
        <f>C41+C42-C44-C43</f>
        <v>26812.48</v>
      </c>
      <c r="D45" s="30">
        <f t="shared" ref="D45:G45" si="13">D41+D42-D44-D43</f>
        <v>95822.48000000001</v>
      </c>
      <c r="E45" s="30">
        <f t="shared" si="13"/>
        <v>208746.47999999995</v>
      </c>
      <c r="F45" s="30">
        <f t="shared" si="13"/>
        <v>363680.07999999996</v>
      </c>
      <c r="G45" s="30">
        <f t="shared" si="13"/>
        <v>477325.99999999994</v>
      </c>
    </row>
    <row r="46" spans="1:7" x14ac:dyDescent="0.25">
      <c r="A46" s="13"/>
      <c r="B46" s="29"/>
      <c r="C46" s="29"/>
      <c r="D46" s="29"/>
      <c r="E46" s="29"/>
      <c r="F46" s="29"/>
      <c r="G46" s="29"/>
    </row>
    <row r="47" spans="1:7" x14ac:dyDescent="0.25">
      <c r="A47" s="13" t="s">
        <v>110</v>
      </c>
      <c r="B47" s="34"/>
      <c r="C47" s="34"/>
      <c r="D47" s="34"/>
      <c r="E47" s="34"/>
      <c r="F47" s="34"/>
      <c r="G47" s="34"/>
    </row>
    <row r="48" spans="1:7" x14ac:dyDescent="0.25">
      <c r="A48" s="13" t="s">
        <v>111</v>
      </c>
      <c r="B48" s="29"/>
      <c r="C48" s="29"/>
      <c r="D48" s="29"/>
      <c r="E48" s="29"/>
      <c r="F48" s="29"/>
      <c r="G48" s="29"/>
    </row>
    <row r="49" spans="1:12" x14ac:dyDescent="0.25">
      <c r="A49" s="12" t="s">
        <v>112</v>
      </c>
      <c r="B49" s="35">
        <f>B45+NPV(B17,C45,D45,E45,F45,G45)</f>
        <v>584675.93925102276</v>
      </c>
      <c r="C49" s="29"/>
      <c r="D49" s="78"/>
      <c r="E49" s="79" t="s">
        <v>126</v>
      </c>
      <c r="F49" s="78"/>
      <c r="G49" s="29"/>
    </row>
    <row r="50" spans="1:12" x14ac:dyDescent="0.25">
      <c r="D50" s="80" t="s">
        <v>120</v>
      </c>
      <c r="E50" s="81" t="s">
        <v>127</v>
      </c>
      <c r="F50" s="81" t="s">
        <v>112</v>
      </c>
    </row>
    <row r="51" spans="1:12" x14ac:dyDescent="0.25">
      <c r="A51" s="12" t="s">
        <v>117</v>
      </c>
      <c r="B51" s="37">
        <f>IRR(B45:G45)</f>
        <v>2.1473412644532655</v>
      </c>
      <c r="D51" s="82" t="s">
        <v>124</v>
      </c>
      <c r="E51" s="83">
        <v>24</v>
      </c>
      <c r="F51" s="84">
        <f>$B$49</f>
        <v>584675.93925102276</v>
      </c>
    </row>
    <row r="52" spans="1:12" x14ac:dyDescent="0.25">
      <c r="D52" s="85">
        <v>-0.3</v>
      </c>
      <c r="E52" s="86">
        <f>$E$51*(1+D52)</f>
        <v>16.799999999999997</v>
      </c>
      <c r="F52" s="87">
        <f t="dataTable" ref="F52:F54" dt2D="0" dtr="0" r1="B13"/>
        <v>253636.02200798021</v>
      </c>
    </row>
    <row r="53" spans="1:12" x14ac:dyDescent="0.25">
      <c r="A53" s="8" t="s">
        <v>118</v>
      </c>
      <c r="B53" s="37">
        <f>MIRR(B45:G45,B17,B17)</f>
        <v>1.1567627859237963</v>
      </c>
      <c r="D53" s="85">
        <v>0</v>
      </c>
      <c r="E53" s="86">
        <f>$E$51*(1+D53)</f>
        <v>24</v>
      </c>
      <c r="F53" s="88">
        <v>584675.93925102276</v>
      </c>
    </row>
    <row r="54" spans="1:12" x14ac:dyDescent="0.25">
      <c r="D54" s="89">
        <v>0.3</v>
      </c>
      <c r="E54" s="86">
        <f>$E$51*(1+D54)</f>
        <v>31.200000000000003</v>
      </c>
      <c r="F54" s="90">
        <v>915715.85649406491</v>
      </c>
    </row>
    <row r="56" spans="1:12" ht="22.5" x14ac:dyDescent="0.25">
      <c r="D56" s="38" t="s">
        <v>120</v>
      </c>
      <c r="E56" s="39" t="s">
        <v>121</v>
      </c>
      <c r="F56" s="40" t="s">
        <v>112</v>
      </c>
      <c r="G56" s="41" t="s">
        <v>134</v>
      </c>
      <c r="H56" s="42" t="s">
        <v>112</v>
      </c>
      <c r="I56" s="43" t="s">
        <v>122</v>
      </c>
      <c r="J56" s="44" t="s">
        <v>112</v>
      </c>
      <c r="K56" s="45" t="s">
        <v>132</v>
      </c>
      <c r="L56" s="46" t="s">
        <v>112</v>
      </c>
    </row>
    <row r="57" spans="1:12" x14ac:dyDescent="0.25">
      <c r="D57" s="47"/>
      <c r="E57" s="48"/>
      <c r="F57" s="49"/>
      <c r="G57" s="50"/>
      <c r="H57" s="51"/>
      <c r="I57" s="52"/>
      <c r="J57" s="53"/>
      <c r="K57" s="54"/>
      <c r="L57" s="55"/>
    </row>
    <row r="58" spans="1:12" x14ac:dyDescent="0.25">
      <c r="D58" s="56" t="s">
        <v>124</v>
      </c>
      <c r="E58" s="57">
        <v>45960</v>
      </c>
      <c r="F58" s="58">
        <f>B49</f>
        <v>584675.93925102276</v>
      </c>
      <c r="G58" s="59">
        <v>10000</v>
      </c>
      <c r="H58" s="60">
        <f>B49</f>
        <v>584675.93925102276</v>
      </c>
      <c r="I58" s="61">
        <v>24</v>
      </c>
      <c r="J58" s="62">
        <f>B49</f>
        <v>584675.93925102276</v>
      </c>
      <c r="K58" s="63">
        <v>0.59399999999999997</v>
      </c>
      <c r="L58" s="64">
        <f>B49</f>
        <v>584675.93925102276</v>
      </c>
    </row>
    <row r="59" spans="1:12" x14ac:dyDescent="0.25">
      <c r="D59" s="65">
        <v>-0.3</v>
      </c>
      <c r="E59" s="66">
        <f>$E$58*(1+D59)</f>
        <v>32171.999999999996</v>
      </c>
      <c r="F59" s="67">
        <f t="dataTable" ref="F59:F61" dt2D="0" dtr="0" r1="B8" ca="1"/>
        <v>618738.7121400527</v>
      </c>
      <c r="G59" s="68">
        <f>$G$58*(1+D59)</f>
        <v>7000</v>
      </c>
      <c r="H59" s="69">
        <f t="dataTable" ref="H59:H61" dt2D="0" dtr="0" r1="B14" ca="1"/>
        <v>258038.390827842</v>
      </c>
      <c r="I59" s="70">
        <f>$I$58*(1+D59)</f>
        <v>16.799999999999997</v>
      </c>
      <c r="J59" s="71">
        <f t="dataTable" ref="J59:J61" dt2D="0" dtr="0" r1="B13" ca="1"/>
        <v>253636.02200798021</v>
      </c>
      <c r="K59" s="72">
        <f>$K$58*(1+D59)</f>
        <v>0.41579999999999995</v>
      </c>
      <c r="L59" s="73">
        <f t="dataTable" ref="L59:L61" dt2D="0" dtr="0" r1="B12" ca="1"/>
        <v>589078.30807088432</v>
      </c>
    </row>
    <row r="60" spans="1:12" x14ac:dyDescent="0.25">
      <c r="D60" s="74">
        <v>0</v>
      </c>
      <c r="E60" s="66">
        <f>$E$58*(1+D60)</f>
        <v>45960</v>
      </c>
      <c r="F60" s="67">
        <v>584675.93925102276</v>
      </c>
      <c r="G60" s="68">
        <f t="shared" ref="G60" si="14">$G$58*(1+D60)</f>
        <v>10000</v>
      </c>
      <c r="H60" s="69">
        <v>584675.93925102276</v>
      </c>
      <c r="I60" s="70">
        <f t="shared" ref="I60:I61" si="15">$I$58*(1+D60)</f>
        <v>24</v>
      </c>
      <c r="J60" s="71">
        <v>584675.93925102276</v>
      </c>
      <c r="K60" s="72">
        <f t="shared" ref="K60:K61" si="16">$K$58*(1+D60)</f>
        <v>0.59399999999999997</v>
      </c>
      <c r="L60" s="73">
        <v>584675.93925102276</v>
      </c>
    </row>
    <row r="61" spans="1:12" x14ac:dyDescent="0.25">
      <c r="D61" s="75">
        <v>0.3</v>
      </c>
      <c r="E61" s="66">
        <f t="shared" ref="E61" si="17">$E$58*(1+D61)</f>
        <v>59748</v>
      </c>
      <c r="F61" s="67">
        <v>550613.16636199271</v>
      </c>
      <c r="G61" s="68">
        <f>$G$58*(1+D61)</f>
        <v>13000</v>
      </c>
      <c r="H61" s="69">
        <v>911313.48767420312</v>
      </c>
      <c r="I61" s="70">
        <f t="shared" si="15"/>
        <v>31.200000000000003</v>
      </c>
      <c r="J61" s="71">
        <v>915715.85649406491</v>
      </c>
      <c r="K61" s="72">
        <f t="shared" si="16"/>
        <v>0.7722</v>
      </c>
      <c r="L61" s="73">
        <v>580273.57043116121</v>
      </c>
    </row>
    <row r="62" spans="1:12" x14ac:dyDescent="0.25">
      <c r="E62" s="76" t="s">
        <v>125</v>
      </c>
      <c r="F62" s="77">
        <f>MAX(F59:F61)-MIN(F59:F61)</f>
        <v>68125.545778059983</v>
      </c>
      <c r="G62" s="76" t="s">
        <v>125</v>
      </c>
      <c r="H62" s="77">
        <f>MAX(H59:H61)-MIN(H59:H61)</f>
        <v>653275.09684636118</v>
      </c>
      <c r="I62" s="76" t="s">
        <v>125</v>
      </c>
      <c r="J62" s="77">
        <f>MAX(J59:J61)-MIN(J59:J61)</f>
        <v>662079.83448608476</v>
      </c>
      <c r="K62" s="76" t="s">
        <v>125</v>
      </c>
      <c r="L62" s="77">
        <f>MAX(L59:L61)-MIN(L59:L61)</f>
        <v>8804.7376397231128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8AD58-B75F-4F20-B544-6BCB417924CB}">
  <dimension ref="A1:P55"/>
  <sheetViews>
    <sheetView workbookViewId="0">
      <selection activeCell="L28" sqref="L28"/>
    </sheetView>
  </sheetViews>
  <sheetFormatPr defaultRowHeight="15" x14ac:dyDescent="0.25"/>
  <cols>
    <col min="2" max="2" width="14.42578125" customWidth="1"/>
    <col min="3" max="3" width="17.42578125" customWidth="1"/>
    <col min="4" max="4" width="16.140625" customWidth="1"/>
    <col min="5" max="5" width="16" customWidth="1"/>
    <col min="6" max="6" width="17.5703125" customWidth="1"/>
    <col min="7" max="7" width="17.7109375" customWidth="1"/>
    <col min="10" max="10" width="11.5703125" customWidth="1"/>
    <col min="11" max="11" width="11.28515625" customWidth="1"/>
    <col min="12" max="12" width="11" customWidth="1"/>
    <col min="13" max="13" width="10.42578125" customWidth="1"/>
    <col min="15" max="15" width="10.85546875" bestFit="1" customWidth="1"/>
  </cols>
  <sheetData>
    <row r="1" spans="1:7" x14ac:dyDescent="0.25">
      <c r="A1" s="419" t="s">
        <v>138</v>
      </c>
      <c r="B1" s="420"/>
      <c r="C1" s="420"/>
      <c r="D1" s="420"/>
      <c r="E1" s="420"/>
      <c r="F1" s="420"/>
      <c r="G1" s="421"/>
    </row>
    <row r="2" spans="1:7" x14ac:dyDescent="0.25">
      <c r="A2" s="93" t="s">
        <v>139</v>
      </c>
      <c r="B2" s="94"/>
      <c r="C2" s="94"/>
      <c r="D2" s="94"/>
      <c r="E2" s="94"/>
      <c r="F2" s="94"/>
      <c r="G2" s="95"/>
    </row>
    <row r="3" spans="1:7" x14ac:dyDescent="0.25">
      <c r="A3" s="96" t="s">
        <v>146</v>
      </c>
      <c r="B3" s="97"/>
      <c r="C3" s="97"/>
      <c r="D3" s="97"/>
      <c r="E3" s="97"/>
      <c r="F3" s="97"/>
      <c r="G3" s="98"/>
    </row>
    <row r="4" spans="1:7" x14ac:dyDescent="0.25">
      <c r="A4" s="99"/>
      <c r="B4" s="100"/>
      <c r="C4" s="100"/>
      <c r="D4" s="100"/>
      <c r="E4" s="100"/>
      <c r="F4" s="100"/>
      <c r="G4" s="101"/>
    </row>
    <row r="5" spans="1:7" x14ac:dyDescent="0.25">
      <c r="A5" s="102"/>
      <c r="B5" s="103"/>
      <c r="C5" s="103"/>
      <c r="D5" s="103"/>
      <c r="E5" s="103"/>
      <c r="F5" s="103"/>
      <c r="G5" s="104"/>
    </row>
    <row r="6" spans="1:7" x14ac:dyDescent="0.25">
      <c r="A6" s="102"/>
      <c r="B6" s="103"/>
      <c r="C6" s="103"/>
      <c r="D6" s="103"/>
      <c r="E6" s="103"/>
      <c r="F6" s="103"/>
      <c r="G6" s="104"/>
    </row>
    <row r="7" spans="1:7" x14ac:dyDescent="0.25">
      <c r="A7" s="102"/>
      <c r="B7" s="103"/>
      <c r="C7" s="103"/>
      <c r="D7" s="103"/>
      <c r="E7" s="103"/>
      <c r="F7" s="103"/>
      <c r="G7" s="104"/>
    </row>
    <row r="8" spans="1:7" x14ac:dyDescent="0.25">
      <c r="A8" s="102"/>
      <c r="B8" s="103"/>
      <c r="C8" s="103"/>
      <c r="D8" s="103"/>
      <c r="E8" s="103"/>
      <c r="F8" s="103"/>
      <c r="G8" s="104"/>
    </row>
    <row r="9" spans="1:7" x14ac:dyDescent="0.25">
      <c r="A9" s="102"/>
      <c r="B9" s="103"/>
      <c r="C9" s="103"/>
      <c r="D9" s="103"/>
      <c r="E9" s="103"/>
      <c r="F9" s="103"/>
      <c r="G9" s="104"/>
    </row>
    <row r="10" spans="1:7" x14ac:dyDescent="0.25">
      <c r="A10" s="102"/>
      <c r="B10" s="103"/>
      <c r="C10" s="103"/>
      <c r="D10" s="103"/>
      <c r="E10" s="103"/>
      <c r="F10" s="103"/>
      <c r="G10" s="104"/>
    </row>
    <row r="11" spans="1:7" x14ac:dyDescent="0.25">
      <c r="A11" s="102"/>
      <c r="B11" s="103"/>
      <c r="C11" s="103"/>
      <c r="D11" s="103"/>
      <c r="E11" s="103"/>
      <c r="F11" s="103"/>
      <c r="G11" s="104"/>
    </row>
    <row r="12" spans="1:7" x14ac:dyDescent="0.25">
      <c r="A12" s="102"/>
      <c r="B12" s="103"/>
      <c r="C12" s="103"/>
      <c r="D12" s="103"/>
      <c r="E12" s="103"/>
      <c r="F12" s="103"/>
      <c r="G12" s="104"/>
    </row>
    <row r="13" spans="1:7" x14ac:dyDescent="0.25">
      <c r="A13" s="102"/>
      <c r="B13" s="103"/>
      <c r="C13" s="103"/>
      <c r="D13" s="103"/>
      <c r="E13" s="103"/>
      <c r="F13" s="103"/>
      <c r="G13" s="104"/>
    </row>
    <row r="14" spans="1:7" x14ac:dyDescent="0.25">
      <c r="A14" s="102"/>
      <c r="B14" s="103"/>
      <c r="C14" s="103"/>
      <c r="D14" s="103"/>
      <c r="E14" s="103"/>
      <c r="F14" s="103"/>
      <c r="G14" s="104"/>
    </row>
    <row r="15" spans="1:7" x14ac:dyDescent="0.25">
      <c r="A15" s="102"/>
      <c r="B15" s="103"/>
      <c r="C15" s="103"/>
      <c r="D15" s="103"/>
      <c r="E15" s="103"/>
      <c r="F15" s="103"/>
      <c r="G15" s="104"/>
    </row>
    <row r="16" spans="1:7" x14ac:dyDescent="0.25">
      <c r="A16" s="102"/>
      <c r="B16" s="103"/>
      <c r="C16" s="103"/>
      <c r="D16" s="103"/>
      <c r="E16" s="103"/>
      <c r="F16" s="103"/>
      <c r="G16" s="104"/>
    </row>
    <row r="17" spans="1:7" x14ac:dyDescent="0.25">
      <c r="A17" s="102"/>
      <c r="B17" s="103"/>
      <c r="C17" s="103"/>
      <c r="D17" s="103"/>
      <c r="E17" s="103"/>
      <c r="F17" s="103"/>
      <c r="G17" s="104"/>
    </row>
    <row r="18" spans="1:7" x14ac:dyDescent="0.25">
      <c r="A18" s="102"/>
      <c r="B18" s="103"/>
      <c r="C18" s="103"/>
      <c r="D18" s="103"/>
      <c r="E18" s="103"/>
      <c r="F18" s="103"/>
      <c r="G18" s="104"/>
    </row>
    <row r="19" spans="1:7" x14ac:dyDescent="0.25">
      <c r="A19" s="102"/>
      <c r="B19" s="103"/>
      <c r="C19" s="103"/>
      <c r="D19" s="103"/>
      <c r="E19" s="103"/>
      <c r="F19" s="103"/>
      <c r="G19" s="104"/>
    </row>
    <row r="20" spans="1:7" x14ac:dyDescent="0.25">
      <c r="A20" s="102"/>
      <c r="B20" s="103"/>
      <c r="C20" s="103"/>
      <c r="D20" s="103"/>
      <c r="E20" s="103"/>
      <c r="F20" s="103"/>
      <c r="G20" s="104"/>
    </row>
    <row r="21" spans="1:7" x14ac:dyDescent="0.25">
      <c r="A21" s="102"/>
      <c r="B21" s="103"/>
      <c r="C21" s="103"/>
      <c r="D21" s="103"/>
      <c r="E21" s="103"/>
      <c r="F21" s="103"/>
      <c r="G21" s="104"/>
    </row>
    <row r="22" spans="1:7" x14ac:dyDescent="0.25">
      <c r="A22" s="102"/>
      <c r="B22" s="103"/>
      <c r="C22" s="103"/>
      <c r="D22" s="103"/>
      <c r="E22" s="103"/>
      <c r="F22" s="103"/>
      <c r="G22" s="104"/>
    </row>
    <row r="23" spans="1:7" x14ac:dyDescent="0.25">
      <c r="A23" s="102"/>
      <c r="B23" s="103"/>
      <c r="C23" s="103"/>
      <c r="D23" s="103"/>
      <c r="E23" s="103"/>
      <c r="F23" s="103"/>
      <c r="G23" s="104"/>
    </row>
    <row r="24" spans="1:7" x14ac:dyDescent="0.25">
      <c r="A24" s="105"/>
      <c r="B24" s="106"/>
      <c r="C24" s="106"/>
      <c r="D24" s="106"/>
      <c r="E24" s="106"/>
      <c r="F24" s="106"/>
      <c r="G24" s="107"/>
    </row>
    <row r="25" spans="1:7" x14ac:dyDescent="0.25">
      <c r="A25" s="108"/>
      <c r="B25" s="109"/>
      <c r="C25" s="109"/>
      <c r="D25" s="109"/>
      <c r="E25" s="109"/>
      <c r="F25" s="109"/>
      <c r="G25" s="110"/>
    </row>
    <row r="26" spans="1:7" x14ac:dyDescent="0.25">
      <c r="A26" s="111"/>
      <c r="B26" s="422" t="s">
        <v>140</v>
      </c>
      <c r="C26" s="423"/>
      <c r="D26" s="423"/>
      <c r="E26" s="423"/>
      <c r="F26" s="424"/>
      <c r="G26" s="112"/>
    </row>
    <row r="27" spans="1:7" x14ac:dyDescent="0.25">
      <c r="A27" s="105"/>
      <c r="B27" s="113" t="s">
        <v>120</v>
      </c>
      <c r="C27" s="425" t="s">
        <v>141</v>
      </c>
      <c r="D27" s="426"/>
      <c r="E27" s="426"/>
      <c r="F27" s="427"/>
      <c r="G27" s="114"/>
    </row>
    <row r="28" spans="1:7" x14ac:dyDescent="0.25">
      <c r="A28" s="105"/>
      <c r="B28" s="115" t="s">
        <v>124</v>
      </c>
      <c r="C28" s="116" t="s">
        <v>142</v>
      </c>
      <c r="D28" s="117" t="s">
        <v>143</v>
      </c>
      <c r="E28" s="118" t="s">
        <v>133</v>
      </c>
      <c r="F28" s="119" t="s">
        <v>147</v>
      </c>
      <c r="G28" s="120"/>
    </row>
    <row r="29" spans="1:7" x14ac:dyDescent="0.25">
      <c r="A29" s="105"/>
      <c r="B29" s="121">
        <f>'NPV &amp; FCF Model'!D59</f>
        <v>-0.3</v>
      </c>
      <c r="C29" s="122">
        <f>'NPV &amp; FCF Model'!F59</f>
        <v>618738.7121400527</v>
      </c>
      <c r="D29" s="123">
        <f>'NPV &amp; FCF Model'!J59</f>
        <v>253636.02200798021</v>
      </c>
      <c r="E29" s="124">
        <f>'NPV &amp; FCF Model'!H59</f>
        <v>258038.390827842</v>
      </c>
      <c r="F29" s="125">
        <f>'NPV &amp; FCF Model'!L59</f>
        <v>589078.30807088432</v>
      </c>
      <c r="G29" s="126"/>
    </row>
    <row r="30" spans="1:7" x14ac:dyDescent="0.25">
      <c r="A30" s="105"/>
      <c r="B30" s="121">
        <f>'NPV &amp; FCF Model'!D60</f>
        <v>0</v>
      </c>
      <c r="C30" s="122">
        <f>'NPV &amp; FCF Model'!F60</f>
        <v>584675.93925102276</v>
      </c>
      <c r="D30" s="123">
        <f>'NPV &amp; FCF Model'!J60</f>
        <v>584675.93925102276</v>
      </c>
      <c r="E30" s="124">
        <f>'NPV &amp; FCF Model'!H60</f>
        <v>584675.93925102276</v>
      </c>
      <c r="F30" s="125">
        <f>'NPV &amp; FCF Model'!L60</f>
        <v>584675.93925102276</v>
      </c>
      <c r="G30" s="126"/>
    </row>
    <row r="31" spans="1:7" x14ac:dyDescent="0.25">
      <c r="A31" s="105"/>
      <c r="B31" s="121">
        <f>'NPV &amp; FCF Model'!D61</f>
        <v>0.3</v>
      </c>
      <c r="C31" s="122">
        <f>'NPV &amp; FCF Model'!F61</f>
        <v>550613.16636199271</v>
      </c>
      <c r="D31" s="123">
        <f>'NPV &amp; FCF Model'!J61</f>
        <v>915715.85649406491</v>
      </c>
      <c r="E31" s="124">
        <f>'NPV &amp; FCF Model'!H61</f>
        <v>911313.48767420312</v>
      </c>
      <c r="F31" s="125">
        <f>'NPV &amp; FCF Model'!L61</f>
        <v>580273.57043116121</v>
      </c>
      <c r="G31" s="126"/>
    </row>
    <row r="32" spans="1:7" x14ac:dyDescent="0.25">
      <c r="A32" s="108"/>
      <c r="B32" s="127" t="s">
        <v>145</v>
      </c>
      <c r="C32" s="122">
        <f>ABS(C29-C31)</f>
        <v>68125.545778059983</v>
      </c>
      <c r="D32" s="123">
        <f>ABS(D29-D31)</f>
        <v>662079.83448608476</v>
      </c>
      <c r="E32" s="124">
        <f>ABS(E29-E31)</f>
        <v>653275.09684636118</v>
      </c>
      <c r="F32" s="125">
        <f>ABS(F29-F31)</f>
        <v>8804.7376397231128</v>
      </c>
      <c r="G32" s="128"/>
    </row>
    <row r="36" spans="1:16" x14ac:dyDescent="0.25">
      <c r="A36" s="93" t="s">
        <v>148</v>
      </c>
      <c r="B36" s="129"/>
      <c r="C36" s="129"/>
      <c r="D36" s="129"/>
      <c r="E36" s="129"/>
      <c r="F36" s="129"/>
      <c r="G36" s="130"/>
      <c r="I36" s="134"/>
      <c r="J36" s="434" t="s">
        <v>141</v>
      </c>
      <c r="K36" s="435"/>
      <c r="L36" s="435"/>
      <c r="M36" s="436"/>
      <c r="O36" s="415" t="s">
        <v>153</v>
      </c>
      <c r="P36" s="416"/>
    </row>
    <row r="37" spans="1:16" x14ac:dyDescent="0.25">
      <c r="A37" s="428" t="s">
        <v>156</v>
      </c>
      <c r="B37" s="429"/>
      <c r="C37" s="429"/>
      <c r="D37" s="429"/>
      <c r="E37" s="429"/>
      <c r="F37" s="429"/>
      <c r="G37" s="430"/>
      <c r="I37" s="134"/>
      <c r="J37" s="135" t="s">
        <v>142</v>
      </c>
      <c r="K37" s="136" t="s">
        <v>143</v>
      </c>
      <c r="L37" s="137" t="s">
        <v>144</v>
      </c>
      <c r="M37" s="138" t="s">
        <v>123</v>
      </c>
      <c r="O37" s="417"/>
      <c r="P37" s="418"/>
    </row>
    <row r="38" spans="1:16" x14ac:dyDescent="0.25">
      <c r="A38" s="431"/>
      <c r="B38" s="432"/>
      <c r="C38" s="432"/>
      <c r="D38" s="432"/>
      <c r="E38" s="432"/>
      <c r="F38" s="432"/>
      <c r="G38" s="433"/>
      <c r="I38" s="437" t="s">
        <v>149</v>
      </c>
      <c r="J38" s="139">
        <f>C29</f>
        <v>618738.7121400527</v>
      </c>
      <c r="K38" s="140">
        <f>D29</f>
        <v>253636.02200798021</v>
      </c>
      <c r="L38" s="141">
        <f>E29</f>
        <v>258038.390827842</v>
      </c>
      <c r="M38" s="142">
        <f>F29</f>
        <v>589078.30807088432</v>
      </c>
      <c r="O38" s="156" t="s">
        <v>154</v>
      </c>
      <c r="P38" s="157" t="s">
        <v>155</v>
      </c>
    </row>
    <row r="39" spans="1:16" x14ac:dyDescent="0.25">
      <c r="A39" s="99"/>
      <c r="B39" s="100"/>
      <c r="C39" s="100"/>
      <c r="D39" s="100"/>
      <c r="E39" s="100"/>
      <c r="F39" s="100"/>
      <c r="G39" s="101"/>
      <c r="I39" s="438"/>
      <c r="J39" s="139">
        <f t="shared" ref="J39:J40" si="0">C30</f>
        <v>584675.93925102276</v>
      </c>
      <c r="K39" s="140">
        <f t="shared" ref="K39:K40" si="1">D30</f>
        <v>584675.93925102276</v>
      </c>
      <c r="L39" s="141">
        <f t="shared" ref="L39:L40" si="2">E30</f>
        <v>584675.93925102276</v>
      </c>
      <c r="M39" s="142">
        <f t="shared" ref="M39:M40" si="3">F30</f>
        <v>584675.93925102276</v>
      </c>
      <c r="O39" s="158">
        <f>'NPV &amp; FCF Model'!$B$49</f>
        <v>584675.93925102276</v>
      </c>
      <c r="P39" s="159">
        <v>5</v>
      </c>
    </row>
    <row r="40" spans="1:16" x14ac:dyDescent="0.25">
      <c r="A40" s="102"/>
      <c r="B40" s="103"/>
      <c r="C40" s="103"/>
      <c r="D40" s="103"/>
      <c r="E40" s="103"/>
      <c r="F40" s="103"/>
      <c r="G40" s="104"/>
      <c r="I40" s="439"/>
      <c r="J40" s="139">
        <f t="shared" si="0"/>
        <v>550613.16636199271</v>
      </c>
      <c r="K40" s="140">
        <f t="shared" si="1"/>
        <v>915715.85649406491</v>
      </c>
      <c r="L40" s="141">
        <f t="shared" si="2"/>
        <v>911313.48767420312</v>
      </c>
      <c r="M40" s="142">
        <f t="shared" si="3"/>
        <v>580273.57043116121</v>
      </c>
      <c r="O40" s="160">
        <f>O39</f>
        <v>584675.93925102276</v>
      </c>
      <c r="P40" s="159">
        <v>4</v>
      </c>
    </row>
    <row r="41" spans="1:16" x14ac:dyDescent="0.25">
      <c r="A41" s="102"/>
      <c r="B41" s="103"/>
      <c r="C41" s="103"/>
      <c r="D41" s="103"/>
      <c r="E41" s="103"/>
      <c r="F41" s="103"/>
      <c r="G41" s="104"/>
      <c r="O41" s="160">
        <f>O40</f>
        <v>584675.93925102276</v>
      </c>
      <c r="P41" s="159">
        <v>1</v>
      </c>
    </row>
    <row r="42" spans="1:16" x14ac:dyDescent="0.25">
      <c r="A42" s="102"/>
      <c r="B42" s="103"/>
      <c r="C42" s="103"/>
      <c r="D42" s="103"/>
      <c r="E42" s="103"/>
      <c r="F42" s="103"/>
      <c r="G42" s="104"/>
    </row>
    <row r="43" spans="1:16" x14ac:dyDescent="0.25">
      <c r="A43" s="102"/>
      <c r="B43" s="103"/>
      <c r="C43" s="103"/>
      <c r="D43" s="103"/>
      <c r="E43" s="103"/>
      <c r="F43" s="103"/>
      <c r="G43" s="104"/>
      <c r="I43" s="143"/>
      <c r="J43" s="409" t="s">
        <v>150</v>
      </c>
      <c r="K43" s="410"/>
      <c r="L43" s="410"/>
      <c r="M43" s="411"/>
    </row>
    <row r="44" spans="1:16" x14ac:dyDescent="0.25">
      <c r="A44" s="102"/>
      <c r="B44" s="103"/>
      <c r="C44" s="103"/>
      <c r="D44" s="103"/>
      <c r="E44" s="103"/>
      <c r="F44" s="103"/>
      <c r="G44" s="104"/>
      <c r="I44" s="144"/>
      <c r="J44" s="145" t="s">
        <v>121</v>
      </c>
      <c r="K44" s="146" t="s">
        <v>143</v>
      </c>
      <c r="L44" s="147" t="s">
        <v>144</v>
      </c>
      <c r="M44" s="148" t="s">
        <v>123</v>
      </c>
    </row>
    <row r="45" spans="1:16" x14ac:dyDescent="0.25">
      <c r="A45" s="102"/>
      <c r="B45" s="103"/>
      <c r="C45" s="103"/>
      <c r="D45" s="103"/>
      <c r="E45" s="103"/>
      <c r="F45" s="103"/>
      <c r="G45" s="104"/>
      <c r="I45" s="144" t="s">
        <v>145</v>
      </c>
      <c r="J45" s="149">
        <f>C32</f>
        <v>68125.545778059983</v>
      </c>
      <c r="K45" s="149">
        <f t="shared" ref="K45:M45" si="4">D32</f>
        <v>662079.83448608476</v>
      </c>
      <c r="L45" s="149">
        <f t="shared" si="4"/>
        <v>653275.09684636118</v>
      </c>
      <c r="M45" s="149">
        <f t="shared" si="4"/>
        <v>8804.7376397231128</v>
      </c>
    </row>
    <row r="46" spans="1:16" x14ac:dyDescent="0.25">
      <c r="A46" s="102"/>
      <c r="B46" s="103"/>
      <c r="C46" s="103"/>
      <c r="D46" s="103"/>
      <c r="E46" s="103"/>
      <c r="F46" s="103"/>
      <c r="G46" s="104"/>
      <c r="I46" s="150" t="s">
        <v>151</v>
      </c>
      <c r="J46" s="151">
        <v>2</v>
      </c>
      <c r="K46" s="151">
        <v>4</v>
      </c>
      <c r="L46" s="151">
        <v>3</v>
      </c>
      <c r="M46" s="151">
        <v>1</v>
      </c>
    </row>
    <row r="47" spans="1:16" x14ac:dyDescent="0.25">
      <c r="A47" s="102"/>
      <c r="B47" s="103"/>
      <c r="C47" s="103"/>
      <c r="D47" s="103"/>
      <c r="E47" s="103"/>
      <c r="F47" s="103"/>
      <c r="G47" s="104"/>
      <c r="I47" s="412" t="s">
        <v>152</v>
      </c>
      <c r="J47" s="152">
        <f t="shared" ref="J47:M49" si="5">J46</f>
        <v>2</v>
      </c>
      <c r="K47" s="153">
        <f t="shared" si="5"/>
        <v>4</v>
      </c>
      <c r="L47" s="154">
        <f t="shared" si="5"/>
        <v>3</v>
      </c>
      <c r="M47" s="155">
        <f t="shared" si="5"/>
        <v>1</v>
      </c>
    </row>
    <row r="48" spans="1:16" x14ac:dyDescent="0.25">
      <c r="A48" s="102"/>
      <c r="B48" s="103"/>
      <c r="C48" s="103"/>
      <c r="D48" s="103"/>
      <c r="E48" s="103"/>
      <c r="F48" s="103"/>
      <c r="G48" s="104"/>
      <c r="I48" s="413"/>
      <c r="J48" s="152">
        <f t="shared" si="5"/>
        <v>2</v>
      </c>
      <c r="K48" s="153">
        <f t="shared" si="5"/>
        <v>4</v>
      </c>
      <c r="L48" s="154">
        <f t="shared" si="5"/>
        <v>3</v>
      </c>
      <c r="M48" s="155">
        <f t="shared" si="5"/>
        <v>1</v>
      </c>
    </row>
    <row r="49" spans="1:13" x14ac:dyDescent="0.25">
      <c r="A49" s="102"/>
      <c r="B49" s="103"/>
      <c r="C49" s="103"/>
      <c r="D49" s="103"/>
      <c r="E49" s="103"/>
      <c r="F49" s="103"/>
      <c r="G49" s="104"/>
      <c r="I49" s="414"/>
      <c r="J49" s="152">
        <f t="shared" si="5"/>
        <v>2</v>
      </c>
      <c r="K49" s="153">
        <f t="shared" si="5"/>
        <v>4</v>
      </c>
      <c r="L49" s="154">
        <f t="shared" si="5"/>
        <v>3</v>
      </c>
      <c r="M49" s="155">
        <f t="shared" si="5"/>
        <v>1</v>
      </c>
    </row>
    <row r="50" spans="1:13" x14ac:dyDescent="0.25">
      <c r="A50" s="102"/>
      <c r="B50" s="103"/>
      <c r="C50" s="103"/>
      <c r="D50" s="103"/>
      <c r="E50" s="103"/>
      <c r="F50" s="103"/>
      <c r="G50" s="104"/>
    </row>
    <row r="51" spans="1:13" x14ac:dyDescent="0.25">
      <c r="A51" s="102"/>
      <c r="B51" s="103"/>
      <c r="C51" s="103"/>
      <c r="D51" s="103"/>
      <c r="E51" s="103"/>
      <c r="F51" s="103"/>
      <c r="G51" s="104"/>
    </row>
    <row r="52" spans="1:13" ht="15" customHeight="1" x14ac:dyDescent="0.25">
      <c r="A52" s="102"/>
      <c r="B52" s="103"/>
      <c r="C52" s="103"/>
      <c r="D52" s="103"/>
      <c r="E52" s="103"/>
      <c r="F52" s="103"/>
      <c r="G52" s="104"/>
    </row>
    <row r="53" spans="1:13" x14ac:dyDescent="0.25">
      <c r="A53" s="102"/>
      <c r="B53" s="103"/>
      <c r="C53" s="103"/>
      <c r="D53" s="103"/>
      <c r="E53" s="103"/>
      <c r="F53" s="103"/>
      <c r="G53" s="104"/>
    </row>
    <row r="54" spans="1:13" x14ac:dyDescent="0.25">
      <c r="A54" s="102"/>
      <c r="B54" s="103"/>
      <c r="C54" s="103"/>
      <c r="D54" s="103"/>
      <c r="E54" s="103"/>
      <c r="F54" s="103"/>
      <c r="G54" s="104"/>
    </row>
    <row r="55" spans="1:13" x14ac:dyDescent="0.25">
      <c r="A55" s="131"/>
      <c r="B55" s="132"/>
      <c r="C55" s="132"/>
      <c r="D55" s="132"/>
      <c r="E55" s="132"/>
      <c r="F55" s="132"/>
      <c r="G55" s="133"/>
    </row>
  </sheetData>
  <mergeCells count="9">
    <mergeCell ref="J43:M43"/>
    <mergeCell ref="I47:I49"/>
    <mergeCell ref="O36:P37"/>
    <mergeCell ref="A1:G1"/>
    <mergeCell ref="B26:F26"/>
    <mergeCell ref="C27:F27"/>
    <mergeCell ref="A37:G38"/>
    <mergeCell ref="J36:M36"/>
    <mergeCell ref="I38:I40"/>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B3ACC-89D8-42B8-8D63-57312DB2D7F2}">
  <dimension ref="A1:AL47"/>
  <sheetViews>
    <sheetView topLeftCell="A3" workbookViewId="0">
      <selection activeCell="F44" sqref="F44"/>
    </sheetView>
  </sheetViews>
  <sheetFormatPr defaultRowHeight="15" x14ac:dyDescent="0.25"/>
  <cols>
    <col min="5" max="5" width="9.7109375" customWidth="1"/>
    <col min="6" max="6" width="9.5703125" bestFit="1" customWidth="1"/>
    <col min="7" max="7" width="12" bestFit="1" customWidth="1"/>
    <col min="12" max="12" width="10.42578125" bestFit="1" customWidth="1"/>
    <col min="14" max="14" width="9.5703125" bestFit="1" customWidth="1"/>
    <col min="15" max="15" width="11" bestFit="1" customWidth="1"/>
    <col min="16" max="16" width="11.140625" customWidth="1"/>
    <col min="17" max="17" width="10.7109375" customWidth="1"/>
    <col min="18" max="18" width="12" customWidth="1"/>
    <col min="22" max="22" width="13" customWidth="1"/>
    <col min="23" max="23" width="20.140625" customWidth="1"/>
    <col min="24" max="24" width="9.5703125" bestFit="1" customWidth="1"/>
    <col min="25" max="25" width="10.7109375" customWidth="1"/>
    <col min="26" max="26" width="12" customWidth="1"/>
    <col min="27" max="27" width="12.42578125" customWidth="1"/>
    <col min="28" max="28" width="11.28515625" customWidth="1"/>
    <col min="32" max="32" width="14" customWidth="1"/>
    <col min="33" max="33" width="16.7109375" customWidth="1"/>
    <col min="34" max="34" width="10.7109375" bestFit="1" customWidth="1"/>
    <col min="35" max="35" width="16.85546875" customWidth="1"/>
    <col min="36" max="36" width="13.7109375" customWidth="1"/>
    <col min="37" max="37" width="13.140625" customWidth="1"/>
    <col min="38" max="38" width="12.5703125" customWidth="1"/>
  </cols>
  <sheetData>
    <row r="1" spans="1:38" x14ac:dyDescent="0.25">
      <c r="A1" s="161" t="s">
        <v>158</v>
      </c>
      <c r="B1" s="162"/>
      <c r="C1" s="162"/>
      <c r="D1" s="162"/>
      <c r="E1" s="162"/>
      <c r="F1" s="162"/>
      <c r="G1" s="163"/>
      <c r="J1" s="222" t="s">
        <v>190</v>
      </c>
      <c r="K1" s="223"/>
      <c r="L1" s="224"/>
      <c r="M1" s="224"/>
      <c r="N1" s="225"/>
      <c r="O1" s="223"/>
      <c r="P1" s="226"/>
      <c r="Q1" s="223"/>
      <c r="R1" s="227"/>
      <c r="T1" s="317" t="s">
        <v>190</v>
      </c>
      <c r="U1" s="318"/>
      <c r="V1" s="319"/>
      <c r="W1" s="319"/>
      <c r="X1" s="320"/>
      <c r="Y1" s="318"/>
      <c r="Z1" s="321"/>
      <c r="AA1" s="318"/>
      <c r="AB1" s="322"/>
      <c r="AD1" s="337" t="s">
        <v>190</v>
      </c>
      <c r="AE1" s="338"/>
      <c r="AF1" s="339"/>
      <c r="AG1" s="339"/>
      <c r="AH1" s="340"/>
      <c r="AI1" s="338"/>
      <c r="AJ1" s="341"/>
      <c r="AK1" s="338"/>
      <c r="AL1" s="342"/>
    </row>
    <row r="2" spans="1:38" ht="15.75" thickBot="1" x14ac:dyDescent="0.3">
      <c r="A2" s="96" t="s">
        <v>159</v>
      </c>
      <c r="B2" s="164"/>
      <c r="C2" s="164"/>
      <c r="D2" s="164"/>
      <c r="E2" s="164"/>
      <c r="F2" s="164"/>
      <c r="G2" s="165"/>
      <c r="J2" s="228" t="str">
        <f>E4</f>
        <v>Worst-Case</v>
      </c>
      <c r="K2" s="229"/>
      <c r="L2" s="229"/>
      <c r="M2" s="229"/>
      <c r="N2" s="230"/>
      <c r="O2" s="230"/>
      <c r="P2" s="230"/>
      <c r="Q2" s="230"/>
      <c r="R2" s="231"/>
      <c r="T2" s="323" t="str">
        <f>F4</f>
        <v>Base-Case</v>
      </c>
      <c r="U2" s="324"/>
      <c r="V2" s="324"/>
      <c r="W2" s="325"/>
      <c r="X2" s="325"/>
      <c r="Y2" s="325"/>
      <c r="Z2" s="325"/>
      <c r="AA2" s="325"/>
      <c r="AB2" s="326"/>
      <c r="AD2" s="343" t="str">
        <f>G4</f>
        <v>Best-Case</v>
      </c>
      <c r="AE2" s="344"/>
      <c r="AF2" s="344"/>
      <c r="AG2" s="344"/>
      <c r="AH2" s="345"/>
      <c r="AI2" s="345"/>
      <c r="AJ2" s="345"/>
      <c r="AK2" s="345"/>
      <c r="AL2" s="346"/>
    </row>
    <row r="3" spans="1:38" ht="15.75" thickBot="1" x14ac:dyDescent="0.3">
      <c r="A3" s="166"/>
      <c r="B3" s="167"/>
      <c r="C3" s="167"/>
      <c r="D3" s="167"/>
      <c r="E3" s="443" t="s">
        <v>160</v>
      </c>
      <c r="F3" s="444"/>
      <c r="G3" s="445"/>
      <c r="J3" s="232" t="s">
        <v>191</v>
      </c>
      <c r="K3" s="233"/>
      <c r="L3" s="233"/>
      <c r="M3" s="233"/>
      <c r="N3" s="234">
        <v>0</v>
      </c>
      <c r="O3" s="235">
        <v>1</v>
      </c>
      <c r="P3" s="235">
        <v>2</v>
      </c>
      <c r="Q3" s="235">
        <v>3</v>
      </c>
      <c r="R3" s="236">
        <v>4</v>
      </c>
      <c r="T3" s="387" t="s">
        <v>191</v>
      </c>
      <c r="U3" s="388"/>
      <c r="V3" s="389"/>
      <c r="W3" s="389"/>
      <c r="X3" s="234">
        <v>0</v>
      </c>
      <c r="Y3" s="390">
        <v>1</v>
      </c>
      <c r="Z3" s="390">
        <v>2</v>
      </c>
      <c r="AA3" s="390">
        <v>3</v>
      </c>
      <c r="AB3" s="391">
        <v>4</v>
      </c>
      <c r="AD3" s="232" t="s">
        <v>191</v>
      </c>
      <c r="AE3" s="233"/>
      <c r="AF3" s="233"/>
      <c r="AG3" s="233"/>
      <c r="AH3" s="234">
        <v>0</v>
      </c>
      <c r="AI3" s="235">
        <v>1</v>
      </c>
      <c r="AJ3" s="235">
        <v>2</v>
      </c>
      <c r="AK3" s="235">
        <v>3</v>
      </c>
      <c r="AL3" s="236">
        <v>4</v>
      </c>
    </row>
    <row r="4" spans="1:38" x14ac:dyDescent="0.25">
      <c r="A4" s="446" t="s">
        <v>161</v>
      </c>
      <c r="B4" s="447"/>
      <c r="C4" s="447"/>
      <c r="D4" s="447"/>
      <c r="E4" s="168" t="s">
        <v>162</v>
      </c>
      <c r="F4" s="169" t="s">
        <v>163</v>
      </c>
      <c r="G4" s="170" t="s">
        <v>164</v>
      </c>
      <c r="J4" s="237" t="s">
        <v>230</v>
      </c>
      <c r="K4" s="238"/>
      <c r="L4" s="238"/>
      <c r="M4" s="238"/>
      <c r="N4" s="239"/>
      <c r="O4" s="240">
        <v>10000</v>
      </c>
      <c r="P4" s="240">
        <v>10000</v>
      </c>
      <c r="Q4" s="240">
        <v>10000</v>
      </c>
      <c r="R4" s="377">
        <v>10000</v>
      </c>
      <c r="T4" s="237" t="s">
        <v>230</v>
      </c>
      <c r="U4" s="238"/>
      <c r="V4" s="238"/>
      <c r="W4" s="238"/>
      <c r="X4" s="239"/>
      <c r="Y4" s="240">
        <v>10000</v>
      </c>
      <c r="Z4" s="240">
        <v>10000</v>
      </c>
      <c r="AA4" s="240">
        <v>10000</v>
      </c>
      <c r="AB4" s="377">
        <v>10000</v>
      </c>
      <c r="AD4" s="237" t="s">
        <v>230</v>
      </c>
      <c r="AE4" s="238"/>
      <c r="AF4" s="238"/>
      <c r="AG4" s="238"/>
      <c r="AH4" s="240">
        <v>10000</v>
      </c>
      <c r="AI4" s="240">
        <v>10000</v>
      </c>
      <c r="AJ4" s="240">
        <v>10000</v>
      </c>
      <c r="AK4" s="240">
        <v>10000</v>
      </c>
      <c r="AL4" s="377">
        <v>10000</v>
      </c>
    </row>
    <row r="5" spans="1:38" x14ac:dyDescent="0.25">
      <c r="A5" s="356"/>
      <c r="B5" s="357"/>
      <c r="C5" s="357"/>
      <c r="D5" s="357"/>
      <c r="E5" s="358"/>
      <c r="F5" s="359"/>
      <c r="G5" s="360"/>
      <c r="J5" s="241" t="s">
        <v>249</v>
      </c>
      <c r="K5" s="242"/>
      <c r="L5" s="242"/>
      <c r="M5" s="242"/>
      <c r="N5" s="243"/>
      <c r="O5" s="365">
        <v>0</v>
      </c>
      <c r="P5" s="365">
        <v>0</v>
      </c>
      <c r="Q5" s="365">
        <v>0</v>
      </c>
      <c r="R5" s="379">
        <v>0</v>
      </c>
      <c r="T5" s="241" t="s">
        <v>249</v>
      </c>
      <c r="U5" s="242"/>
      <c r="V5" s="242"/>
      <c r="W5" s="242"/>
      <c r="X5" s="243"/>
      <c r="Y5" s="362">
        <v>0</v>
      </c>
      <c r="Z5" s="362">
        <v>0.4</v>
      </c>
      <c r="AA5" s="362">
        <v>0.4</v>
      </c>
      <c r="AB5" s="363">
        <v>0.4</v>
      </c>
      <c r="AD5" s="241" t="s">
        <v>249</v>
      </c>
      <c r="AE5" s="242"/>
      <c r="AF5" s="242"/>
      <c r="AG5" s="242"/>
      <c r="AH5" s="243"/>
      <c r="AI5" s="368">
        <v>9</v>
      </c>
      <c r="AJ5" s="368">
        <v>1.5</v>
      </c>
      <c r="AK5" s="368">
        <v>0.8</v>
      </c>
      <c r="AL5" s="369">
        <v>0.22</v>
      </c>
    </row>
    <row r="6" spans="1:38" x14ac:dyDescent="0.25">
      <c r="A6" s="448" t="s">
        <v>165</v>
      </c>
      <c r="B6" s="449"/>
      <c r="C6" s="449"/>
      <c r="D6" s="449"/>
      <c r="E6" s="171">
        <v>0.25</v>
      </c>
      <c r="F6" s="172">
        <v>0.5</v>
      </c>
      <c r="G6" s="173">
        <v>0.25</v>
      </c>
      <c r="J6" s="241" t="s">
        <v>192</v>
      </c>
      <c r="K6" s="242"/>
      <c r="L6" s="242"/>
      <c r="M6" s="242"/>
      <c r="N6" s="243"/>
      <c r="O6" s="243">
        <v>24</v>
      </c>
      <c r="P6" s="243">
        <f>'NPV &amp; FCF Model'!B13</f>
        <v>24</v>
      </c>
      <c r="Q6" s="243">
        <f>P6*(1+$E$47)</f>
        <v>24</v>
      </c>
      <c r="R6" s="251">
        <f>Q6*(1+$E$47)</f>
        <v>24</v>
      </c>
      <c r="T6" s="241" t="s">
        <v>192</v>
      </c>
      <c r="U6" s="242"/>
      <c r="V6" s="242"/>
      <c r="W6" s="242"/>
      <c r="X6" s="243"/>
      <c r="Y6" s="327">
        <f>'NPV &amp; FCF Model'!B13</f>
        <v>24</v>
      </c>
      <c r="Z6" s="327">
        <f>Y6*(1+$F$47)</f>
        <v>24</v>
      </c>
      <c r="AA6" s="327">
        <f>Z6*(1+$F$47)</f>
        <v>24</v>
      </c>
      <c r="AB6" s="328">
        <f>AA6*(1+$F$47)</f>
        <v>24</v>
      </c>
      <c r="AD6" s="241" t="s">
        <v>192</v>
      </c>
      <c r="AE6" s="242"/>
      <c r="AF6" s="242"/>
      <c r="AG6" s="242"/>
      <c r="AH6" s="243"/>
      <c r="AI6" s="327">
        <f>'NPV &amp; FCF Model'!$B$13</f>
        <v>24</v>
      </c>
      <c r="AJ6" s="327">
        <f>'NPV &amp; FCF Model'!$B$13</f>
        <v>24</v>
      </c>
      <c r="AK6" s="327">
        <f>'NPV &amp; FCF Model'!$B$13</f>
        <v>24</v>
      </c>
      <c r="AL6" s="328">
        <f>'NPV &amp; FCF Model'!$B$13</f>
        <v>24</v>
      </c>
    </row>
    <row r="7" spans="1:38" x14ac:dyDescent="0.25">
      <c r="A7" s="174" t="s">
        <v>166</v>
      </c>
      <c r="B7" s="175"/>
      <c r="C7" s="175"/>
      <c r="D7" s="399"/>
      <c r="E7" s="400"/>
      <c r="F7" s="401"/>
      <c r="G7" s="398"/>
      <c r="J7" s="241" t="s">
        <v>232</v>
      </c>
      <c r="K7" s="242"/>
      <c r="L7" s="242"/>
      <c r="M7" s="242"/>
      <c r="N7" s="243"/>
      <c r="O7" s="366">
        <v>1</v>
      </c>
      <c r="P7" s="366">
        <v>1</v>
      </c>
      <c r="Q7" s="366">
        <v>1</v>
      </c>
      <c r="R7" s="367">
        <v>1</v>
      </c>
      <c r="T7" s="241" t="s">
        <v>229</v>
      </c>
      <c r="U7" s="242"/>
      <c r="V7" s="242"/>
      <c r="W7" s="242"/>
      <c r="X7" s="243"/>
      <c r="Y7" s="364">
        <v>1</v>
      </c>
      <c r="Z7" s="364">
        <v>2</v>
      </c>
      <c r="AA7" s="364">
        <v>3</v>
      </c>
      <c r="AB7" s="370">
        <v>4</v>
      </c>
      <c r="AD7" s="241" t="s">
        <v>229</v>
      </c>
      <c r="AE7" s="242"/>
      <c r="AF7" s="242"/>
      <c r="AG7" s="242"/>
      <c r="AH7" s="243"/>
      <c r="AI7" s="364">
        <v>10</v>
      </c>
      <c r="AJ7" s="364">
        <v>25</v>
      </c>
      <c r="AK7" s="364">
        <v>45</v>
      </c>
      <c r="AL7" s="370">
        <v>55</v>
      </c>
    </row>
    <row r="8" spans="1:38" x14ac:dyDescent="0.25">
      <c r="A8" s="440" t="s">
        <v>224</v>
      </c>
      <c r="B8" s="441"/>
      <c r="C8" s="441"/>
      <c r="D8" s="442"/>
      <c r="E8" s="176">
        <f>'Cost and Key Assumptions'!$C$43</f>
        <v>22940</v>
      </c>
      <c r="F8" s="385">
        <f>'Cost and Key Assumptions'!$C$43</f>
        <v>22940</v>
      </c>
      <c r="G8" s="397">
        <f>'Cost and Key Assumptions'!$C$43</f>
        <v>22940</v>
      </c>
      <c r="J8" s="241" t="s">
        <v>235</v>
      </c>
      <c r="K8" s="242"/>
      <c r="L8" s="242"/>
      <c r="M8" s="242"/>
      <c r="N8" s="243"/>
      <c r="O8" s="371">
        <f>O4</f>
        <v>10000</v>
      </c>
      <c r="P8" s="371">
        <f t="shared" ref="P8:R8" si="0">P4</f>
        <v>10000</v>
      </c>
      <c r="Q8" s="371">
        <f t="shared" si="0"/>
        <v>10000</v>
      </c>
      <c r="R8" s="380">
        <f t="shared" si="0"/>
        <v>10000</v>
      </c>
      <c r="T8" s="241" t="s">
        <v>234</v>
      </c>
      <c r="U8" s="242"/>
      <c r="V8" s="242"/>
      <c r="W8" s="242"/>
      <c r="X8" s="243"/>
      <c r="Y8" s="361">
        <f>Y4</f>
        <v>10000</v>
      </c>
      <c r="Z8" s="361">
        <f>Y8*(1+Z5)</f>
        <v>14000</v>
      </c>
      <c r="AA8" s="361">
        <f t="shared" ref="AA8:AB8" si="1">Z8*(1+AA5)</f>
        <v>19600</v>
      </c>
      <c r="AB8" s="376">
        <f t="shared" si="1"/>
        <v>27440</v>
      </c>
      <c r="AD8" s="241" t="s">
        <v>235</v>
      </c>
      <c r="AE8" s="242"/>
      <c r="AF8" s="242"/>
      <c r="AG8" s="242"/>
      <c r="AH8" s="243"/>
      <c r="AI8" s="361">
        <f>AI4*AI5+AH4</f>
        <v>100000</v>
      </c>
      <c r="AJ8" s="361">
        <f>AI8*(1+AJ5)</f>
        <v>250000</v>
      </c>
      <c r="AK8" s="361">
        <f t="shared" ref="AK8:AL8" si="2">AJ8*(1+AK5)</f>
        <v>450000</v>
      </c>
      <c r="AL8" s="376">
        <f t="shared" si="2"/>
        <v>549000</v>
      </c>
    </row>
    <row r="9" spans="1:38" x14ac:dyDescent="0.25">
      <c r="A9" s="450" t="s">
        <v>167</v>
      </c>
      <c r="B9" s="451"/>
      <c r="C9" s="451"/>
      <c r="D9" s="452"/>
      <c r="E9" s="177">
        <v>0</v>
      </c>
      <c r="F9" s="178">
        <v>0</v>
      </c>
      <c r="G9" s="179">
        <v>0</v>
      </c>
      <c r="J9" s="241" t="s">
        <v>231</v>
      </c>
      <c r="K9" s="242"/>
      <c r="L9" s="242"/>
      <c r="M9" s="242"/>
      <c r="N9" s="243"/>
      <c r="O9" s="243">
        <v>10000</v>
      </c>
      <c r="P9" s="243">
        <v>10000</v>
      </c>
      <c r="Q9" s="243">
        <v>10000</v>
      </c>
      <c r="R9" s="251">
        <v>10000</v>
      </c>
      <c r="T9" s="241" t="s">
        <v>231</v>
      </c>
      <c r="U9" s="242"/>
      <c r="V9" s="242"/>
      <c r="W9" s="242"/>
      <c r="X9" s="243"/>
      <c r="Y9" s="327">
        <f>'NPV &amp; FCF Model'!C26</f>
        <v>10000</v>
      </c>
      <c r="Z9" s="327">
        <v>10000</v>
      </c>
      <c r="AA9" s="327">
        <v>10000</v>
      </c>
      <c r="AB9" s="378">
        <v>10000</v>
      </c>
      <c r="AD9" s="241" t="s">
        <v>231</v>
      </c>
      <c r="AE9" s="242"/>
      <c r="AF9" s="242"/>
      <c r="AG9" s="242"/>
      <c r="AH9" s="243"/>
      <c r="AI9" s="327">
        <f>'NPV &amp; FCF Model'!$B$20</f>
        <v>10000</v>
      </c>
      <c r="AJ9" s="327">
        <f>'NPV &amp; FCF Model'!$B$20</f>
        <v>10000</v>
      </c>
      <c r="AK9" s="327">
        <f>'NPV &amp; FCF Model'!$B$20</f>
        <v>10000</v>
      </c>
      <c r="AL9" s="251">
        <f>'NPV &amp; FCF Model'!$B$20</f>
        <v>10000</v>
      </c>
    </row>
    <row r="10" spans="1:38" x14ac:dyDescent="0.25">
      <c r="A10" s="450" t="s">
        <v>168</v>
      </c>
      <c r="B10" s="451"/>
      <c r="C10" s="451"/>
      <c r="D10" s="452"/>
      <c r="E10" s="177">
        <f>N33</f>
        <v>21504.742980129136</v>
      </c>
      <c r="F10" s="178">
        <f>X33</f>
        <v>21417.16409984068</v>
      </c>
      <c r="G10" s="179">
        <f>AH33</f>
        <v>22940</v>
      </c>
      <c r="J10" s="241" t="s">
        <v>193</v>
      </c>
      <c r="K10" s="242"/>
      <c r="L10" s="242"/>
      <c r="M10" s="242"/>
      <c r="N10" s="243"/>
      <c r="O10" s="244">
        <f>'NPV &amp; FCF Model'!K61</f>
        <v>0.7722</v>
      </c>
      <c r="P10" s="244">
        <f>O10*(1+$E$49)</f>
        <v>0.7722</v>
      </c>
      <c r="Q10" s="244">
        <f>P10*(1+$E$49)</f>
        <v>0.7722</v>
      </c>
      <c r="R10" s="245">
        <f>Q10*(1+$E$49)</f>
        <v>0.7722</v>
      </c>
      <c r="T10" s="241" t="s">
        <v>193</v>
      </c>
      <c r="U10" s="242"/>
      <c r="V10" s="242"/>
      <c r="W10" s="242"/>
      <c r="X10" s="243"/>
      <c r="Y10" s="244">
        <f>'NPV &amp; FCF Model'!K60</f>
        <v>0.59399999999999997</v>
      </c>
      <c r="Z10" s="244">
        <f>Y10*(1+$F$49)</f>
        <v>0.59399999999999997</v>
      </c>
      <c r="AA10" s="244">
        <f>Z10*(1+$F$49)</f>
        <v>0.59399999999999997</v>
      </c>
      <c r="AB10" s="245">
        <f>AA10*(1+$F$49)</f>
        <v>0.59399999999999997</v>
      </c>
      <c r="AD10" s="241" t="s">
        <v>193</v>
      </c>
      <c r="AE10" s="242"/>
      <c r="AF10" s="242"/>
      <c r="AG10" s="242"/>
      <c r="AH10" s="243"/>
      <c r="AI10" s="244">
        <f>'NPV &amp; FCF Model'!$K$60</f>
        <v>0.59399999999999997</v>
      </c>
      <c r="AJ10" s="244">
        <f>AI10*(1+$G$49)</f>
        <v>0.59399999999999997</v>
      </c>
      <c r="AK10" s="244">
        <f>AJ10*(1+$G$49)</f>
        <v>0.59399999999999997</v>
      </c>
      <c r="AL10" s="245">
        <f>AK10*(1+$G$49)</f>
        <v>0.59399999999999997</v>
      </c>
    </row>
    <row r="11" spans="1:38" x14ac:dyDescent="0.25">
      <c r="A11" s="450" t="s">
        <v>169</v>
      </c>
      <c r="B11" s="451"/>
      <c r="C11" s="451"/>
      <c r="D11" s="452"/>
      <c r="E11" s="177">
        <v>0</v>
      </c>
      <c r="F11" s="178">
        <v>0</v>
      </c>
      <c r="G11" s="179">
        <v>0</v>
      </c>
      <c r="J11" s="241" t="s">
        <v>194</v>
      </c>
      <c r="K11" s="242"/>
      <c r="L11" s="242"/>
      <c r="M11" s="242"/>
      <c r="N11" s="243"/>
      <c r="O11" s="246">
        <f>'NPV &amp; FCF Model'!E61+'NPV &amp; FCF Model'!C29-'NPV &amp; FCF Model'!B8</f>
        <v>224748</v>
      </c>
      <c r="P11" s="247">
        <f>'NPV &amp; FCF Model'!$E$61+'NPV &amp; FCF Model'!D29-'NPV &amp; FCF Model'!$B$8</f>
        <v>239748</v>
      </c>
      <c r="Q11" s="247">
        <f>'NPV &amp; FCF Model'!$E$61+'NPV &amp; FCF Model'!E29-'NPV &amp; FCF Model'!$B$8</f>
        <v>239748</v>
      </c>
      <c r="R11" s="386">
        <f>'NPV &amp; FCF Model'!$E$61+'NPV &amp; FCF Model'!F29-'NPV &amp; FCF Model'!$B$8</f>
        <v>239748</v>
      </c>
      <c r="T11" s="241" t="s">
        <v>194</v>
      </c>
      <c r="U11" s="242"/>
      <c r="V11" s="242"/>
      <c r="W11" s="242"/>
      <c r="X11" s="243"/>
      <c r="Y11" s="246">
        <f>'NPV &amp; FCF Model'!C29</f>
        <v>210960</v>
      </c>
      <c r="Z11" s="246">
        <f>'NPV &amp; FCF Model'!D29</f>
        <v>225960</v>
      </c>
      <c r="AA11" s="246">
        <f>'NPV &amp; FCF Model'!E29</f>
        <v>225960</v>
      </c>
      <c r="AB11" s="402">
        <f>'NPV &amp; FCF Model'!F29</f>
        <v>225960</v>
      </c>
      <c r="AD11" s="241" t="s">
        <v>194</v>
      </c>
      <c r="AE11" s="242"/>
      <c r="AF11" s="242"/>
      <c r="AG11" s="242"/>
      <c r="AH11" s="243"/>
      <c r="AI11" s="246">
        <f>'NPV &amp; FCF Model'!$E$59+'NPV &amp; FCF Model'!C29-'NPV &amp; FCF Model'!$B$8</f>
        <v>197172</v>
      </c>
      <c r="AJ11" s="246">
        <f>'NPV &amp; FCF Model'!$E$59+'NPV &amp; FCF Model'!D29-'NPV &amp; FCF Model'!$B$8</f>
        <v>212172</v>
      </c>
      <c r="AK11" s="246">
        <f>'NPV &amp; FCF Model'!$E$59+'NPV &amp; FCF Model'!E29-'NPV &amp; FCF Model'!$B$8</f>
        <v>212172</v>
      </c>
      <c r="AL11" s="402">
        <f>'NPV &amp; FCF Model'!$E$59+'NPV &amp; FCF Model'!F29-'NPV &amp; FCF Model'!$B$8</f>
        <v>212172</v>
      </c>
    </row>
    <row r="12" spans="1:38" x14ac:dyDescent="0.25">
      <c r="A12" s="440" t="s">
        <v>170</v>
      </c>
      <c r="B12" s="441"/>
      <c r="C12" s="441"/>
      <c r="D12" s="442"/>
      <c r="E12" s="180">
        <f>O4</f>
        <v>10000</v>
      </c>
      <c r="F12" s="181">
        <f>Y8</f>
        <v>10000</v>
      </c>
      <c r="G12" s="182">
        <f>AI8</f>
        <v>100000</v>
      </c>
      <c r="J12" s="241" t="s">
        <v>248</v>
      </c>
      <c r="K12" s="242"/>
      <c r="L12" s="242"/>
      <c r="M12" s="242"/>
      <c r="N12" s="243"/>
      <c r="O12" s="243">
        <f>O4*O6+O9</f>
        <v>250000</v>
      </c>
      <c r="P12" s="243">
        <f t="shared" ref="P12:R12" si="3">P4*P6+P9</f>
        <v>250000</v>
      </c>
      <c r="Q12" s="243">
        <f t="shared" si="3"/>
        <v>250000</v>
      </c>
      <c r="R12" s="251">
        <f t="shared" si="3"/>
        <v>250000</v>
      </c>
      <c r="T12" s="241" t="s">
        <v>248</v>
      </c>
      <c r="U12" s="242"/>
      <c r="V12" s="242"/>
      <c r="W12" s="242"/>
      <c r="X12" s="243"/>
      <c r="Y12" s="243">
        <f>(Y8*Y6)+(Y7*Y9)</f>
        <v>250000</v>
      </c>
      <c r="Z12" s="243">
        <f t="shared" ref="Z12:AB12" si="4">(Z8*Z6)+(Z7*Z9)</f>
        <v>356000</v>
      </c>
      <c r="AA12" s="243">
        <f t="shared" si="4"/>
        <v>500400</v>
      </c>
      <c r="AB12" s="251">
        <f t="shared" si="4"/>
        <v>698560</v>
      </c>
      <c r="AD12" s="241" t="s">
        <v>248</v>
      </c>
      <c r="AE12" s="242"/>
      <c r="AF12" s="242"/>
      <c r="AG12" s="242"/>
      <c r="AH12" s="243"/>
      <c r="AI12" s="243">
        <f>(AI8*AI6)+(AI7*AI9)</f>
        <v>2500000</v>
      </c>
      <c r="AJ12" s="243">
        <f t="shared" ref="AJ12:AL12" si="5">(AJ8*AJ6)+(AJ7*AJ9)</f>
        <v>6250000</v>
      </c>
      <c r="AK12" s="243">
        <f t="shared" si="5"/>
        <v>11250000</v>
      </c>
      <c r="AL12" s="251">
        <f t="shared" si="5"/>
        <v>13726000</v>
      </c>
    </row>
    <row r="13" spans="1:38" x14ac:dyDescent="0.25">
      <c r="A13" s="183" t="s">
        <v>171</v>
      </c>
      <c r="B13" s="184"/>
      <c r="C13" s="184"/>
      <c r="D13" s="185"/>
      <c r="E13" s="186">
        <v>0</v>
      </c>
      <c r="F13" s="187">
        <f>Z5</f>
        <v>0.4</v>
      </c>
      <c r="G13" s="396">
        <f>AJ5</f>
        <v>1.5</v>
      </c>
      <c r="J13" s="241" t="s">
        <v>195</v>
      </c>
      <c r="K13" s="242"/>
      <c r="L13" s="242"/>
      <c r="M13" s="242"/>
      <c r="N13" s="246">
        <f>'NPV &amp; FCF Model'!B36</f>
        <v>7200</v>
      </c>
      <c r="O13" s="246">
        <f>O12*$E$24</f>
        <v>25000</v>
      </c>
      <c r="P13" s="246">
        <f>P12*$E$24</f>
        <v>25000</v>
      </c>
      <c r="Q13" s="246">
        <f>Q12*$E$24</f>
        <v>25000</v>
      </c>
      <c r="R13" s="248">
        <f>R12*$E$24</f>
        <v>25000</v>
      </c>
      <c r="T13" s="241" t="s">
        <v>237</v>
      </c>
      <c r="U13" s="242"/>
      <c r="V13" s="242"/>
      <c r="W13" s="242"/>
      <c r="X13" s="246">
        <f>N13</f>
        <v>7200</v>
      </c>
      <c r="Y13" s="246">
        <f>Z12*$F$24</f>
        <v>35600</v>
      </c>
      <c r="Z13" s="246">
        <f>AA12*$F$24</f>
        <v>50040</v>
      </c>
      <c r="AA13" s="246">
        <f>AB12*$F$24</f>
        <v>69856</v>
      </c>
      <c r="AB13" s="402">
        <f>(AB12*1.1)*$F$24</f>
        <v>76841.60000000002</v>
      </c>
      <c r="AD13" s="241" t="s">
        <v>236</v>
      </c>
      <c r="AE13" s="242"/>
      <c r="AF13" s="242"/>
      <c r="AG13" s="242"/>
      <c r="AH13" s="246">
        <f>'NPV &amp; FCF Model'!B15</f>
        <v>7200</v>
      </c>
      <c r="AI13" s="246">
        <f>AJ12*$G$24</f>
        <v>625000</v>
      </c>
      <c r="AJ13" s="246">
        <f>AK12*$G$24</f>
        <v>1125000</v>
      </c>
      <c r="AK13" s="246">
        <f>AL12*$G$24</f>
        <v>1372600</v>
      </c>
      <c r="AL13" s="402">
        <f>(AL12*1.1)*$G$24</f>
        <v>1509860.0000000002</v>
      </c>
    </row>
    <row r="14" spans="1:38" x14ac:dyDescent="0.25">
      <c r="A14" s="183" t="s">
        <v>172</v>
      </c>
      <c r="B14" s="184"/>
      <c r="C14" s="184"/>
      <c r="D14" s="185"/>
      <c r="E14" s="186">
        <v>0</v>
      </c>
      <c r="F14" s="187">
        <f>AA5</f>
        <v>0.4</v>
      </c>
      <c r="G14" s="396">
        <f>AK5</f>
        <v>0.8</v>
      </c>
      <c r="J14" s="249" t="s">
        <v>196</v>
      </c>
      <c r="K14" s="250"/>
      <c r="L14" s="250"/>
      <c r="M14" s="250"/>
      <c r="N14" s="246">
        <f>E8</f>
        <v>22940</v>
      </c>
      <c r="O14" s="243"/>
      <c r="P14" s="243"/>
      <c r="Q14" s="243"/>
      <c r="R14" s="251"/>
      <c r="T14" s="249" t="s">
        <v>196</v>
      </c>
      <c r="U14" s="250"/>
      <c r="V14" s="250"/>
      <c r="W14" s="250"/>
      <c r="X14" s="246">
        <f>F8</f>
        <v>22940</v>
      </c>
      <c r="Y14" s="243"/>
      <c r="Z14" s="243"/>
      <c r="AA14" s="243"/>
      <c r="AB14" s="251"/>
      <c r="AD14" s="249" t="s">
        <v>196</v>
      </c>
      <c r="AE14" s="250"/>
      <c r="AF14" s="250"/>
      <c r="AG14" s="250"/>
      <c r="AH14" s="246">
        <f>G8</f>
        <v>22940</v>
      </c>
      <c r="AI14" s="243"/>
      <c r="AJ14" s="243"/>
      <c r="AK14" s="243"/>
      <c r="AL14" s="251"/>
    </row>
    <row r="15" spans="1:38" x14ac:dyDescent="0.25">
      <c r="A15" s="183" t="s">
        <v>173</v>
      </c>
      <c r="B15" s="184"/>
      <c r="C15" s="184"/>
      <c r="D15" s="185"/>
      <c r="E15" s="186">
        <v>0</v>
      </c>
      <c r="F15" s="187">
        <f>AB5</f>
        <v>0.4</v>
      </c>
      <c r="G15" s="396">
        <f>AL5</f>
        <v>0.22</v>
      </c>
      <c r="J15" s="241" t="s">
        <v>197</v>
      </c>
      <c r="K15" s="252"/>
      <c r="L15" s="253"/>
      <c r="M15" s="250"/>
      <c r="N15" s="243"/>
      <c r="O15" s="254">
        <v>0.33329999999999999</v>
      </c>
      <c r="P15" s="254">
        <v>0.44450000000000001</v>
      </c>
      <c r="Q15" s="254">
        <v>0.14810000000000001</v>
      </c>
      <c r="R15" s="255">
        <v>7.4099999999999999E-2</v>
      </c>
      <c r="T15" s="241" t="s">
        <v>197</v>
      </c>
      <c r="U15" s="252"/>
      <c r="V15" s="253"/>
      <c r="W15" s="250"/>
      <c r="X15" s="243"/>
      <c r="Y15" s="254">
        <v>0.33329999999999999</v>
      </c>
      <c r="Z15" s="254">
        <v>0.44450000000000001</v>
      </c>
      <c r="AA15" s="254">
        <v>0.14810000000000001</v>
      </c>
      <c r="AB15" s="255">
        <v>7.4099999999999999E-2</v>
      </c>
      <c r="AD15" s="241" t="s">
        <v>197</v>
      </c>
      <c r="AE15" s="252"/>
      <c r="AF15" s="253"/>
      <c r="AG15" s="250"/>
      <c r="AH15" s="243"/>
      <c r="AI15" s="254">
        <v>0.33329999999999999</v>
      </c>
      <c r="AJ15" s="254">
        <v>0.44450000000000001</v>
      </c>
      <c r="AK15" s="254">
        <v>0.14810000000000001</v>
      </c>
      <c r="AL15" s="255">
        <v>7.4099999999999999E-2</v>
      </c>
    </row>
    <row r="16" spans="1:38" x14ac:dyDescent="0.25">
      <c r="A16" s="440" t="s">
        <v>174</v>
      </c>
      <c r="B16" s="441"/>
      <c r="C16" s="441"/>
      <c r="D16" s="442"/>
      <c r="E16" s="188">
        <v>12</v>
      </c>
      <c r="F16" s="189">
        <f>Y6</f>
        <v>24</v>
      </c>
      <c r="G16" s="190">
        <f>AI6</f>
        <v>24</v>
      </c>
      <c r="J16" s="241" t="s">
        <v>198</v>
      </c>
      <c r="K16" s="252"/>
      <c r="L16" s="253"/>
      <c r="M16" s="250"/>
      <c r="N16" s="243"/>
      <c r="O16" s="243">
        <f>$N$14*O15</f>
        <v>7645.902</v>
      </c>
      <c r="P16" s="243">
        <f t="shared" ref="P16:R16" si="6">$N$14*P15</f>
        <v>10196.83</v>
      </c>
      <c r="Q16" s="243">
        <f t="shared" si="6"/>
        <v>3397.4140000000002</v>
      </c>
      <c r="R16" s="251">
        <f t="shared" si="6"/>
        <v>1699.854</v>
      </c>
      <c r="T16" s="241" t="s">
        <v>198</v>
      </c>
      <c r="U16" s="252"/>
      <c r="V16" s="253"/>
      <c r="W16" s="250"/>
      <c r="X16" s="243"/>
      <c r="Y16" s="243">
        <f>$X$14*Y15</f>
        <v>7645.902</v>
      </c>
      <c r="Z16" s="243">
        <f t="shared" ref="Z16:AB16" si="7">$X$14*Z15</f>
        <v>10196.83</v>
      </c>
      <c r="AA16" s="243">
        <f t="shared" si="7"/>
        <v>3397.4140000000002</v>
      </c>
      <c r="AB16" s="251">
        <f t="shared" si="7"/>
        <v>1699.854</v>
      </c>
      <c r="AD16" s="241" t="s">
        <v>198</v>
      </c>
      <c r="AE16" s="252"/>
      <c r="AF16" s="253"/>
      <c r="AG16" s="250"/>
      <c r="AH16" s="243"/>
      <c r="AI16" s="243">
        <f>$AH$14*AI15</f>
        <v>7645.902</v>
      </c>
      <c r="AJ16" s="243">
        <f t="shared" ref="AJ16:AK16" si="8">$AH$14*AJ15</f>
        <v>10196.83</v>
      </c>
      <c r="AK16" s="243">
        <f t="shared" si="8"/>
        <v>3397.4140000000002</v>
      </c>
      <c r="AL16" s="375">
        <f>$AH$14*AL15</f>
        <v>1699.854</v>
      </c>
    </row>
    <row r="17" spans="1:38" ht="15.75" thickBot="1" x14ac:dyDescent="0.3">
      <c r="A17" s="440" t="s">
        <v>175</v>
      </c>
      <c r="B17" s="441"/>
      <c r="C17" s="441"/>
      <c r="D17" s="442"/>
      <c r="E17" s="353">
        <v>0</v>
      </c>
      <c r="F17" s="192">
        <v>0</v>
      </c>
      <c r="G17" s="193">
        <v>0</v>
      </c>
      <c r="J17" s="256" t="s">
        <v>199</v>
      </c>
      <c r="K17" s="257"/>
      <c r="L17" s="258"/>
      <c r="M17" s="259"/>
      <c r="N17" s="260"/>
      <c r="O17" s="260">
        <f>N14-O16</f>
        <v>15294.098</v>
      </c>
      <c r="P17" s="260">
        <f>O17-P16</f>
        <v>5097.268</v>
      </c>
      <c r="Q17" s="260">
        <f>P17-Q16</f>
        <v>1699.8539999999998</v>
      </c>
      <c r="R17" s="261">
        <f>Q17-R16</f>
        <v>0</v>
      </c>
      <c r="T17" s="256" t="s">
        <v>199</v>
      </c>
      <c r="U17" s="257"/>
      <c r="V17" s="258"/>
      <c r="W17" s="259"/>
      <c r="X17" s="260"/>
      <c r="Y17" s="260">
        <f>X14-Y16</f>
        <v>15294.098</v>
      </c>
      <c r="Z17" s="260">
        <f>Y17-Z16</f>
        <v>5097.268</v>
      </c>
      <c r="AA17" s="260">
        <f>Z17-AA16</f>
        <v>1699.8539999999998</v>
      </c>
      <c r="AB17" s="261">
        <f>AA17-AB16</f>
        <v>0</v>
      </c>
      <c r="AD17" s="256" t="s">
        <v>199</v>
      </c>
      <c r="AE17" s="257"/>
      <c r="AF17" s="258"/>
      <c r="AG17" s="259"/>
      <c r="AH17" s="260"/>
      <c r="AI17" s="260">
        <f>AH14-AI16</f>
        <v>15294.098</v>
      </c>
      <c r="AJ17" s="260">
        <f>AI17-AJ16</f>
        <v>5097.268</v>
      </c>
      <c r="AK17" s="260">
        <f>AJ17-AK16</f>
        <v>1699.8539999999998</v>
      </c>
      <c r="AL17" s="261">
        <f>AK17-AL16</f>
        <v>0</v>
      </c>
    </row>
    <row r="18" spans="1:38" ht="15.75" thickBot="1" x14ac:dyDescent="0.3">
      <c r="A18" s="440" t="s">
        <v>176</v>
      </c>
      <c r="B18" s="441"/>
      <c r="C18" s="441"/>
      <c r="D18" s="442"/>
      <c r="E18" s="188">
        <f>O10</f>
        <v>0.7722</v>
      </c>
      <c r="F18" s="189">
        <f>Y10</f>
        <v>0.59399999999999997</v>
      </c>
      <c r="G18" s="190">
        <f>AI10</f>
        <v>0.59399999999999997</v>
      </c>
      <c r="J18" s="262" t="s">
        <v>200</v>
      </c>
      <c r="K18" s="263"/>
      <c r="L18" s="263"/>
      <c r="M18" s="263"/>
      <c r="N18" s="264"/>
      <c r="O18" s="464" t="s">
        <v>201</v>
      </c>
      <c r="P18" s="464"/>
      <c r="Q18" s="464"/>
      <c r="R18" s="465"/>
      <c r="T18" s="262" t="s">
        <v>200</v>
      </c>
      <c r="U18" s="263"/>
      <c r="V18" s="263"/>
      <c r="W18" s="263"/>
      <c r="X18" s="264"/>
      <c r="Y18" s="464" t="s">
        <v>201</v>
      </c>
      <c r="Z18" s="464"/>
      <c r="AA18" s="464"/>
      <c r="AB18" s="465"/>
      <c r="AD18" s="262" t="s">
        <v>200</v>
      </c>
      <c r="AE18" s="263"/>
      <c r="AF18" s="263"/>
      <c r="AG18" s="263"/>
      <c r="AH18" s="264"/>
      <c r="AI18" s="464" t="s">
        <v>201</v>
      </c>
      <c r="AJ18" s="464"/>
      <c r="AK18" s="464"/>
      <c r="AL18" s="465"/>
    </row>
    <row r="19" spans="1:38" ht="15.75" thickBot="1" x14ac:dyDescent="0.3">
      <c r="A19" s="440" t="s">
        <v>177</v>
      </c>
      <c r="B19" s="441"/>
      <c r="C19" s="441"/>
      <c r="D19" s="442"/>
      <c r="E19" s="191">
        <v>0</v>
      </c>
      <c r="F19" s="192">
        <v>0</v>
      </c>
      <c r="G19" s="193">
        <v>0</v>
      </c>
      <c r="J19" s="265"/>
      <c r="K19" s="266"/>
      <c r="L19" s="103"/>
      <c r="M19" s="103"/>
      <c r="N19" s="267">
        <v>0</v>
      </c>
      <c r="O19" s="268">
        <v>1</v>
      </c>
      <c r="P19" s="268">
        <v>2</v>
      </c>
      <c r="Q19" s="268">
        <v>3</v>
      </c>
      <c r="R19" s="269">
        <v>4</v>
      </c>
      <c r="T19" s="329"/>
      <c r="U19" s="330"/>
      <c r="V19" s="331"/>
      <c r="W19" s="331"/>
      <c r="X19" s="267">
        <v>0</v>
      </c>
      <c r="Y19" s="332">
        <v>1</v>
      </c>
      <c r="Z19" s="332">
        <v>2</v>
      </c>
      <c r="AA19" s="332">
        <v>3</v>
      </c>
      <c r="AB19" s="333">
        <v>4</v>
      </c>
      <c r="AD19" s="265"/>
      <c r="AE19" s="266"/>
      <c r="AF19" s="103"/>
      <c r="AG19" s="103"/>
      <c r="AH19" s="267">
        <v>0</v>
      </c>
      <c r="AI19" s="268">
        <v>1</v>
      </c>
      <c r="AJ19" s="268">
        <v>2</v>
      </c>
      <c r="AK19" s="268">
        <v>3</v>
      </c>
      <c r="AL19" s="269">
        <v>4</v>
      </c>
    </row>
    <row r="20" spans="1:38" x14ac:dyDescent="0.25">
      <c r="A20" s="440" t="s">
        <v>178</v>
      </c>
      <c r="B20" s="441"/>
      <c r="C20" s="441"/>
      <c r="D20" s="442"/>
      <c r="E20" s="194">
        <f>O22</f>
        <v>224748</v>
      </c>
      <c r="F20" s="195">
        <f>Y11</f>
        <v>210960</v>
      </c>
      <c r="G20" s="196">
        <f>AI11</f>
        <v>197172</v>
      </c>
      <c r="J20" s="265" t="s">
        <v>248</v>
      </c>
      <c r="K20" s="270"/>
      <c r="L20" s="271"/>
      <c r="M20" s="271"/>
      <c r="N20" s="272"/>
      <c r="O20" s="272">
        <f>O4*O6</f>
        <v>240000</v>
      </c>
      <c r="P20" s="272">
        <f>P4*P6</f>
        <v>240000</v>
      </c>
      <c r="Q20" s="272">
        <f>Q4*Q6</f>
        <v>240000</v>
      </c>
      <c r="R20" s="273">
        <f>R4*R6</f>
        <v>240000</v>
      </c>
      <c r="T20" s="265" t="s">
        <v>248</v>
      </c>
      <c r="U20" s="270"/>
      <c r="V20" s="271"/>
      <c r="W20" s="271"/>
      <c r="X20" s="272"/>
      <c r="Y20" s="272">
        <f>Y12</f>
        <v>250000</v>
      </c>
      <c r="Z20" s="272">
        <f t="shared" ref="Z20:AB20" si="9">Z12</f>
        <v>356000</v>
      </c>
      <c r="AA20" s="272">
        <f t="shared" si="9"/>
        <v>500400</v>
      </c>
      <c r="AB20" s="273">
        <f t="shared" si="9"/>
        <v>698560</v>
      </c>
      <c r="AD20" s="265" t="s">
        <v>248</v>
      </c>
      <c r="AE20" s="270"/>
      <c r="AF20" s="271"/>
      <c r="AG20" s="271"/>
      <c r="AH20" s="272"/>
      <c r="AI20" s="272">
        <f>AI12</f>
        <v>2500000</v>
      </c>
      <c r="AJ20" s="272">
        <f t="shared" ref="AJ20:AL20" si="10">AJ12</f>
        <v>6250000</v>
      </c>
      <c r="AK20" s="272">
        <f t="shared" si="10"/>
        <v>11250000</v>
      </c>
      <c r="AL20" s="273">
        <f t="shared" si="10"/>
        <v>13726000</v>
      </c>
    </row>
    <row r="21" spans="1:38" x14ac:dyDescent="0.25">
      <c r="A21" s="450" t="s">
        <v>179</v>
      </c>
      <c r="B21" s="451"/>
      <c r="C21" s="451"/>
      <c r="D21" s="452"/>
      <c r="E21" s="382">
        <f>(P11-O11)/P11</f>
        <v>6.2565693978677617E-2</v>
      </c>
      <c r="F21" s="383">
        <f>(Z11-Y11)/Z11</f>
        <v>6.6383430695698353E-2</v>
      </c>
      <c r="G21" s="384">
        <f>(AJ11-AI11)/AJ11</f>
        <v>7.0697358746677222E-2</v>
      </c>
      <c r="J21" s="265" t="s">
        <v>250</v>
      </c>
      <c r="K21" s="270"/>
      <c r="L21" s="271"/>
      <c r="M21" s="271"/>
      <c r="N21" s="272"/>
      <c r="O21" s="272">
        <f>O4*O10</f>
        <v>7722</v>
      </c>
      <c r="P21" s="272">
        <f>P4*P10</f>
        <v>7722</v>
      </c>
      <c r="Q21" s="272">
        <f>Q4*Q10</f>
        <v>7722</v>
      </c>
      <c r="R21" s="274">
        <f>R4*R10</f>
        <v>7722</v>
      </c>
      <c r="T21" s="265" t="s">
        <v>250</v>
      </c>
      <c r="U21" s="270"/>
      <c r="V21" s="271"/>
      <c r="W21" s="271"/>
      <c r="X21" s="272"/>
      <c r="Y21" s="272" cm="1">
        <f t="array" ref="Y21">(Y4*Y10)*PRODUCT(1+$Y$5:Y5)</f>
        <v>5940</v>
      </c>
      <c r="Z21" s="272" cm="1">
        <f t="array" ref="Z21">(Z4*Z10)*PRODUCT(1+$Y$5:Z5)</f>
        <v>8316</v>
      </c>
      <c r="AA21" s="272" cm="1">
        <f t="array" ref="AA21">(AA4*AA10)*PRODUCT(1+$Y$5:AA5)</f>
        <v>11642.399999999998</v>
      </c>
      <c r="AB21" s="273" cm="1">
        <f t="array" ref="AB21">(AB4*AB10)*PRODUCT(1+$Y$5:AB5)</f>
        <v>16299.359999999995</v>
      </c>
      <c r="AD21" s="265" t="s">
        <v>250</v>
      </c>
      <c r="AE21" s="270"/>
      <c r="AF21" s="271"/>
      <c r="AG21" s="271"/>
      <c r="AH21" s="272"/>
      <c r="AI21" s="272">
        <f>AI8*AI10</f>
        <v>59400</v>
      </c>
      <c r="AJ21" s="272">
        <f t="shared" ref="AJ21:AL21" si="11">AJ8*AJ10</f>
        <v>148500</v>
      </c>
      <c r="AK21" s="272">
        <f t="shared" si="11"/>
        <v>267300</v>
      </c>
      <c r="AL21" s="273">
        <f t="shared" si="11"/>
        <v>326106</v>
      </c>
    </row>
    <row r="22" spans="1:38" x14ac:dyDescent="0.25">
      <c r="A22" s="450" t="s">
        <v>180</v>
      </c>
      <c r="B22" s="451"/>
      <c r="C22" s="451"/>
      <c r="D22" s="452"/>
      <c r="E22" s="197">
        <v>0.22</v>
      </c>
      <c r="F22" s="198">
        <v>0.18</v>
      </c>
      <c r="G22" s="199">
        <v>0.16</v>
      </c>
      <c r="J22" s="265" t="s">
        <v>202</v>
      </c>
      <c r="K22" s="270"/>
      <c r="L22" s="271"/>
      <c r="M22" s="271"/>
      <c r="N22" s="272"/>
      <c r="O22" s="272">
        <f>O11</f>
        <v>224748</v>
      </c>
      <c r="P22" s="272">
        <f>P11</f>
        <v>239748</v>
      </c>
      <c r="Q22" s="272">
        <f>Q11</f>
        <v>239748</v>
      </c>
      <c r="R22" s="274">
        <f>R11</f>
        <v>239748</v>
      </c>
      <c r="T22" s="265" t="s">
        <v>202</v>
      </c>
      <c r="U22" s="270"/>
      <c r="V22" s="271"/>
      <c r="W22" s="271"/>
      <c r="X22" s="272"/>
      <c r="Y22" s="272">
        <f>Y11</f>
        <v>210960</v>
      </c>
      <c r="Z22" s="272">
        <f>Z11</f>
        <v>225960</v>
      </c>
      <c r="AA22" s="272">
        <f>AA11</f>
        <v>225960</v>
      </c>
      <c r="AB22" s="274">
        <f>AB11</f>
        <v>225960</v>
      </c>
      <c r="AD22" s="265" t="s">
        <v>202</v>
      </c>
      <c r="AE22" s="270"/>
      <c r="AF22" s="271"/>
      <c r="AG22" s="271"/>
      <c r="AH22" s="272"/>
      <c r="AI22" s="272">
        <f>AI11</f>
        <v>197172</v>
      </c>
      <c r="AJ22" s="272">
        <f>AJ11</f>
        <v>212172</v>
      </c>
      <c r="AK22" s="272">
        <f>AK11</f>
        <v>212172</v>
      </c>
      <c r="AL22" s="274">
        <f>AL11</f>
        <v>212172</v>
      </c>
    </row>
    <row r="23" spans="1:38" x14ac:dyDescent="0.25">
      <c r="A23" s="450" t="s">
        <v>181</v>
      </c>
      <c r="B23" s="451"/>
      <c r="C23" s="451"/>
      <c r="D23" s="452"/>
      <c r="E23" s="197">
        <v>0.25</v>
      </c>
      <c r="F23" s="198">
        <f>'NPV &amp; FCF Model'!B16</f>
        <v>0.21</v>
      </c>
      <c r="G23" s="199">
        <v>0.25</v>
      </c>
      <c r="J23" s="265" t="s">
        <v>98</v>
      </c>
      <c r="K23" s="270"/>
      <c r="L23" s="271"/>
      <c r="M23" s="271"/>
      <c r="N23" s="272"/>
      <c r="O23" s="275">
        <f>O16</f>
        <v>7645.902</v>
      </c>
      <c r="P23" s="275">
        <f>P16</f>
        <v>10196.83</v>
      </c>
      <c r="Q23" s="275">
        <f>Q16</f>
        <v>3397.4140000000002</v>
      </c>
      <c r="R23" s="276">
        <f>R16</f>
        <v>1699.854</v>
      </c>
      <c r="T23" s="265" t="s">
        <v>98</v>
      </c>
      <c r="U23" s="270"/>
      <c r="V23" s="271"/>
      <c r="W23" s="271"/>
      <c r="X23" s="272"/>
      <c r="Y23" s="275">
        <f>Y16</f>
        <v>7645.902</v>
      </c>
      <c r="Z23" s="275">
        <f>Z16</f>
        <v>10196.83</v>
      </c>
      <c r="AA23" s="275">
        <f>AA16</f>
        <v>3397.4140000000002</v>
      </c>
      <c r="AB23" s="276">
        <f>AB16</f>
        <v>1699.854</v>
      </c>
      <c r="AD23" s="265" t="s">
        <v>98</v>
      </c>
      <c r="AE23" s="270"/>
      <c r="AF23" s="271"/>
      <c r="AG23" s="271"/>
      <c r="AH23" s="272"/>
      <c r="AI23" s="275">
        <f>AI16</f>
        <v>7645.902</v>
      </c>
      <c r="AJ23" s="275">
        <f>AJ16</f>
        <v>10196.83</v>
      </c>
      <c r="AK23" s="275">
        <f>AK16</f>
        <v>3397.4140000000002</v>
      </c>
      <c r="AL23" s="276">
        <f>AL16</f>
        <v>1699.854</v>
      </c>
    </row>
    <row r="24" spans="1:38" x14ac:dyDescent="0.25">
      <c r="A24" s="459" t="s">
        <v>182</v>
      </c>
      <c r="B24" s="460"/>
      <c r="C24" s="460"/>
      <c r="D24" s="461"/>
      <c r="E24" s="200">
        <v>0.1</v>
      </c>
      <c r="F24" s="201">
        <v>0.1</v>
      </c>
      <c r="G24" s="202">
        <v>0.1</v>
      </c>
      <c r="J24" s="265" t="s">
        <v>203</v>
      </c>
      <c r="K24" s="270"/>
      <c r="L24" s="271"/>
      <c r="M24" s="271"/>
      <c r="N24" s="272"/>
      <c r="O24" s="272">
        <f>O20-O21-O22-O23</f>
        <v>-115.90200000000004</v>
      </c>
      <c r="P24" s="272">
        <f>P20-P21-P22-P23</f>
        <v>-17666.830000000002</v>
      </c>
      <c r="Q24" s="272">
        <f>Q20-Q21-Q22-Q23</f>
        <v>-10867.414000000001</v>
      </c>
      <c r="R24" s="273">
        <f>R20-R21-R22-R23</f>
        <v>-9169.8539999999994</v>
      </c>
      <c r="T24" s="265" t="s">
        <v>203</v>
      </c>
      <c r="U24" s="270"/>
      <c r="V24" s="271"/>
      <c r="W24" s="271"/>
      <c r="X24" s="272"/>
      <c r="Y24" s="272">
        <f>Y20-Y21-Y22-Y23</f>
        <v>25454.097999999998</v>
      </c>
      <c r="Z24" s="272">
        <f>Z20-Z21-Z22-Z23</f>
        <v>111527.17</v>
      </c>
      <c r="AA24" s="272">
        <f>AA20-AA21-AA22-AA23</f>
        <v>259400.18599999999</v>
      </c>
      <c r="AB24" s="273">
        <f>AB20-AB21-AB22-AB23</f>
        <v>454600.78600000002</v>
      </c>
      <c r="AD24" s="265" t="s">
        <v>203</v>
      </c>
      <c r="AE24" s="270"/>
      <c r="AF24" s="271"/>
      <c r="AG24" s="271"/>
      <c r="AH24" s="272"/>
      <c r="AI24" s="272">
        <f>AI20-AI21-AI22-AI23</f>
        <v>2235782.0980000002</v>
      </c>
      <c r="AJ24" s="272">
        <f>AJ20-AJ21-AJ22-AJ23</f>
        <v>5879131.1699999999</v>
      </c>
      <c r="AK24" s="272">
        <f>AK20-AK21-AK22-AK23</f>
        <v>10767130.585999999</v>
      </c>
      <c r="AL24" s="273">
        <f>AL20-AL21-AL22-AL23</f>
        <v>13186022.146</v>
      </c>
    </row>
    <row r="25" spans="1:38" x14ac:dyDescent="0.25">
      <c r="A25" s="462" t="s">
        <v>183</v>
      </c>
      <c r="B25" s="463"/>
      <c r="C25" s="203"/>
      <c r="D25" s="204"/>
      <c r="E25" s="205"/>
      <c r="F25" s="206"/>
      <c r="G25" s="207"/>
      <c r="J25" s="265" t="s">
        <v>204</v>
      </c>
      <c r="K25" s="270"/>
      <c r="L25" s="271"/>
      <c r="M25" s="277"/>
      <c r="N25" s="272"/>
      <c r="O25" s="278">
        <f>O24*$E$23</f>
        <v>-28.975500000000011</v>
      </c>
      <c r="P25" s="278">
        <f>P24*$E$23</f>
        <v>-4416.7075000000004</v>
      </c>
      <c r="Q25" s="278">
        <f>Q24*$E$23</f>
        <v>-2716.8535000000002</v>
      </c>
      <c r="R25" s="276">
        <f>R24*$E$23</f>
        <v>-2292.4634999999998</v>
      </c>
      <c r="T25" s="265" t="s">
        <v>226</v>
      </c>
      <c r="U25" s="270"/>
      <c r="V25" s="271"/>
      <c r="W25" s="277"/>
      <c r="X25" s="272"/>
      <c r="Y25" s="275">
        <f>Y24*$F$23</f>
        <v>5345.3605799999996</v>
      </c>
      <c r="Z25" s="275">
        <f t="shared" ref="Z25:AB25" si="12">Z24*$F$23</f>
        <v>23420.705699999999</v>
      </c>
      <c r="AA25" s="275">
        <f t="shared" si="12"/>
        <v>54474.039059999996</v>
      </c>
      <c r="AB25" s="276">
        <f t="shared" si="12"/>
        <v>95466.165059999999</v>
      </c>
      <c r="AD25" s="265" t="s">
        <v>204</v>
      </c>
      <c r="AE25" s="270"/>
      <c r="AF25" s="271"/>
      <c r="AG25" s="277"/>
      <c r="AH25" s="272"/>
      <c r="AI25" s="278">
        <f>AI24*$G$23</f>
        <v>558945.52450000006</v>
      </c>
      <c r="AJ25" s="278">
        <f t="shared" ref="AJ25:AL25" si="13">AJ24*$G$23</f>
        <v>1469782.7925</v>
      </c>
      <c r="AK25" s="278">
        <f t="shared" si="13"/>
        <v>2691782.6464999998</v>
      </c>
      <c r="AL25" s="276">
        <f t="shared" si="13"/>
        <v>3296505.5364999999</v>
      </c>
    </row>
    <row r="26" spans="1:38" ht="15.75" thickBot="1" x14ac:dyDescent="0.3">
      <c r="A26" s="208"/>
      <c r="B26" s="209"/>
      <c r="C26" s="209"/>
      <c r="D26" s="210" t="s">
        <v>184</v>
      </c>
      <c r="E26" s="211">
        <f t="shared" ref="E26:E31" si="14">L37</f>
        <v>9519.9546724080137</v>
      </c>
      <c r="F26" s="212">
        <f>V37</f>
        <v>385921.56196002598</v>
      </c>
      <c r="G26" s="392">
        <f>AF37</f>
        <v>14270571.397486715</v>
      </c>
      <c r="J26" s="265" t="s">
        <v>205</v>
      </c>
      <c r="K26" s="270"/>
      <c r="L26" s="271"/>
      <c r="M26" s="271"/>
      <c r="N26" s="272"/>
      <c r="O26" s="272">
        <f>O24-O25</f>
        <v>-86.926500000000033</v>
      </c>
      <c r="P26" s="272">
        <f>P24-P25</f>
        <v>-13250.122500000001</v>
      </c>
      <c r="Q26" s="272">
        <f>Q24-Q25</f>
        <v>-8150.5605000000005</v>
      </c>
      <c r="R26" s="273">
        <f>R24-R25</f>
        <v>-6877.3904999999995</v>
      </c>
      <c r="T26" s="265" t="s">
        <v>205</v>
      </c>
      <c r="U26" s="270"/>
      <c r="V26" s="271"/>
      <c r="W26" s="271"/>
      <c r="X26" s="272"/>
      <c r="Y26" s="272">
        <f>Y24-Y25</f>
        <v>20108.737419999998</v>
      </c>
      <c r="Z26" s="272">
        <f>Z24-Z25</f>
        <v>88106.464299999992</v>
      </c>
      <c r="AA26" s="272">
        <f>AA24-AA25</f>
        <v>204926.14694000001</v>
      </c>
      <c r="AB26" s="273">
        <f>AB24-AB25</f>
        <v>359134.62094000005</v>
      </c>
      <c r="AD26" s="284" t="s">
        <v>205</v>
      </c>
      <c r="AE26" s="285"/>
      <c r="AF26" s="286"/>
      <c r="AG26" s="286"/>
      <c r="AH26" s="287"/>
      <c r="AI26" s="287">
        <f>AI24-AI25</f>
        <v>1676836.5735000002</v>
      </c>
      <c r="AJ26" s="287">
        <f>AJ24-AJ25</f>
        <v>4409348.3774999995</v>
      </c>
      <c r="AK26" s="287">
        <f>AK24-AK25</f>
        <v>8075347.9394999994</v>
      </c>
      <c r="AL26" s="347">
        <f>AL24-AL25</f>
        <v>9889516.6095000003</v>
      </c>
    </row>
    <row r="27" spans="1:38" x14ac:dyDescent="0.25">
      <c r="A27" s="213"/>
      <c r="B27" s="214"/>
      <c r="C27" s="214"/>
      <c r="D27" s="215" t="s">
        <v>185</v>
      </c>
      <c r="E27" s="216">
        <f t="shared" si="14"/>
        <v>0.38047450640962865</v>
      </c>
      <c r="F27" s="372">
        <f t="shared" ref="F27:F28" si="15">V38</f>
        <v>2.1070146364661579</v>
      </c>
      <c r="G27" s="393">
        <f t="shared" ref="G27:G28" si="16">AF38</f>
        <v>38.624367065444673</v>
      </c>
      <c r="J27" s="265" t="s">
        <v>206</v>
      </c>
      <c r="K27" s="270"/>
      <c r="L27" s="271"/>
      <c r="M27" s="271"/>
      <c r="N27" s="272"/>
      <c r="O27" s="275">
        <f>O23</f>
        <v>7645.902</v>
      </c>
      <c r="P27" s="275">
        <f>P23</f>
        <v>10196.83</v>
      </c>
      <c r="Q27" s="275">
        <f>Q23</f>
        <v>3397.4140000000002</v>
      </c>
      <c r="R27" s="276">
        <f>R23</f>
        <v>1699.854</v>
      </c>
      <c r="T27" s="265" t="s">
        <v>206</v>
      </c>
      <c r="U27" s="270"/>
      <c r="V27" s="271"/>
      <c r="W27" s="271"/>
      <c r="X27" s="272"/>
      <c r="Y27" s="275">
        <f>Y23</f>
        <v>7645.902</v>
      </c>
      <c r="Z27" s="275">
        <f>Z23</f>
        <v>10196.83</v>
      </c>
      <c r="AA27" s="275">
        <f>AA23</f>
        <v>3397.4140000000002</v>
      </c>
      <c r="AB27" s="276">
        <f>AB23</f>
        <v>1699.854</v>
      </c>
      <c r="AD27" s="329" t="s">
        <v>206</v>
      </c>
      <c r="AE27" s="348"/>
      <c r="AF27" s="294"/>
      <c r="AG27" s="294"/>
      <c r="AH27" s="349"/>
      <c r="AI27" s="349">
        <f>AI23</f>
        <v>7645.902</v>
      </c>
      <c r="AJ27" s="349">
        <f>AJ23</f>
        <v>10196.83</v>
      </c>
      <c r="AK27" s="349">
        <f>AK23</f>
        <v>3397.4140000000002</v>
      </c>
      <c r="AL27" s="350">
        <f>AL23</f>
        <v>1699.854</v>
      </c>
    </row>
    <row r="28" spans="1:38" x14ac:dyDescent="0.25">
      <c r="A28" s="213"/>
      <c r="B28" s="214"/>
      <c r="C28" s="214"/>
      <c r="D28" s="215" t="s">
        <v>186</v>
      </c>
      <c r="E28" s="216">
        <f t="shared" si="14"/>
        <v>0.31056157273916285</v>
      </c>
      <c r="F28" s="372">
        <f t="shared" si="15"/>
        <v>1.3020599852219514</v>
      </c>
      <c r="G28" s="393">
        <f t="shared" si="16"/>
        <v>4.4139169303772903</v>
      </c>
      <c r="J28" s="265" t="s">
        <v>207</v>
      </c>
      <c r="K28" s="270"/>
      <c r="L28" s="271"/>
      <c r="M28" s="271"/>
      <c r="N28" s="272"/>
      <c r="O28" s="272">
        <f>O26+O27</f>
        <v>7558.9755000000005</v>
      </c>
      <c r="P28" s="272">
        <f>P26+P27</f>
        <v>-3053.2925000000014</v>
      </c>
      <c r="Q28" s="272">
        <f>Q26+Q27</f>
        <v>-4753.1465000000007</v>
      </c>
      <c r="R28" s="274">
        <f>R26+R27</f>
        <v>-5177.5364999999993</v>
      </c>
      <c r="T28" s="265" t="s">
        <v>207</v>
      </c>
      <c r="U28" s="270"/>
      <c r="V28" s="271"/>
      <c r="W28" s="271"/>
      <c r="X28" s="272"/>
      <c r="Y28" s="272">
        <f>Y26+Y27</f>
        <v>27754.63942</v>
      </c>
      <c r="Z28" s="272">
        <f>Z26+Z27</f>
        <v>98303.294299999994</v>
      </c>
      <c r="AA28" s="272">
        <f>AA26+AA27</f>
        <v>208323.56094</v>
      </c>
      <c r="AB28" s="274">
        <f>AB26+AB27</f>
        <v>360834.47494000004</v>
      </c>
      <c r="AD28" s="265" t="s">
        <v>207</v>
      </c>
      <c r="AE28" s="270"/>
      <c r="AF28" s="271"/>
      <c r="AG28" s="271"/>
      <c r="AH28" s="272"/>
      <c r="AI28" s="272">
        <f>AI26+AI27</f>
        <v>1684482.4755000002</v>
      </c>
      <c r="AJ28" s="272">
        <f>AJ26+AJ27</f>
        <v>4419545.2074999996</v>
      </c>
      <c r="AK28" s="272">
        <f>AK26+AK27</f>
        <v>8078745.3534999993</v>
      </c>
      <c r="AL28" s="274">
        <f>AL26+AL27</f>
        <v>9891216.4635000005</v>
      </c>
    </row>
    <row r="29" spans="1:38" x14ac:dyDescent="0.25">
      <c r="A29" s="213"/>
      <c r="B29" s="214"/>
      <c r="C29" s="214"/>
      <c r="D29" s="215" t="s">
        <v>187</v>
      </c>
      <c r="E29" s="352">
        <f t="shared" si="14"/>
        <v>1.3316509288725631</v>
      </c>
      <c r="F29" s="217">
        <f>$V$40</f>
        <v>14.485667573963925</v>
      </c>
      <c r="G29" s="394">
        <f>$AF$40</f>
        <v>474.47615784627453</v>
      </c>
      <c r="J29" s="265" t="s">
        <v>208</v>
      </c>
      <c r="K29" s="270"/>
      <c r="L29" s="271"/>
      <c r="M29" s="271"/>
      <c r="N29" s="279">
        <f>-D6</f>
        <v>0</v>
      </c>
      <c r="O29" s="280"/>
      <c r="P29" s="280"/>
      <c r="Q29" s="280"/>
      <c r="R29" s="281"/>
      <c r="T29" s="265" t="s">
        <v>208</v>
      </c>
      <c r="U29" s="270"/>
      <c r="V29" s="271"/>
      <c r="W29" s="271"/>
      <c r="X29" s="279">
        <v>0</v>
      </c>
      <c r="Y29" s="280"/>
      <c r="Z29" s="280"/>
      <c r="AA29" s="280"/>
      <c r="AB29" s="281"/>
      <c r="AD29" s="265" t="s">
        <v>208</v>
      </c>
      <c r="AE29" s="270"/>
      <c r="AF29" s="271"/>
      <c r="AG29" s="271"/>
      <c r="AH29" s="279">
        <v>0</v>
      </c>
      <c r="AI29" s="280"/>
      <c r="AJ29" s="280"/>
      <c r="AK29" s="280"/>
      <c r="AL29" s="281"/>
    </row>
    <row r="30" spans="1:38" x14ac:dyDescent="0.25">
      <c r="A30" s="213"/>
      <c r="B30" s="214"/>
      <c r="C30" s="214"/>
      <c r="D30" s="215" t="s">
        <v>188</v>
      </c>
      <c r="E30" s="352">
        <f t="shared" si="14"/>
        <v>1.945236</v>
      </c>
      <c r="F30" s="217">
        <f>$V$41</f>
        <v>1.074516</v>
      </c>
      <c r="G30" s="394">
        <f>$AF$41</f>
        <v>2.7660000000000001E-2</v>
      </c>
      <c r="J30" s="265" t="s">
        <v>209</v>
      </c>
      <c r="K30" s="270"/>
      <c r="L30" s="271"/>
      <c r="M30" s="271"/>
      <c r="N30" s="272"/>
      <c r="O30" s="272"/>
      <c r="P30" s="272"/>
      <c r="Q30" s="272"/>
      <c r="R30" s="274">
        <f>D7</f>
        <v>0</v>
      </c>
      <c r="T30" s="265" t="s">
        <v>209</v>
      </c>
      <c r="U30" s="270"/>
      <c r="V30" s="271"/>
      <c r="W30" s="271"/>
      <c r="X30" s="272"/>
      <c r="Y30" s="272"/>
      <c r="Z30" s="272"/>
      <c r="AA30" s="272"/>
      <c r="AB30" s="274">
        <f>E7</f>
        <v>0</v>
      </c>
      <c r="AD30" s="265" t="s">
        <v>209</v>
      </c>
      <c r="AE30" s="270"/>
      <c r="AF30" s="271"/>
      <c r="AG30" s="271"/>
      <c r="AH30" s="279"/>
      <c r="AI30" s="272"/>
      <c r="AJ30" s="272"/>
      <c r="AK30" s="272"/>
      <c r="AL30" s="274">
        <f>F7</f>
        <v>0</v>
      </c>
    </row>
    <row r="31" spans="1:38" x14ac:dyDescent="0.25">
      <c r="A31" s="218"/>
      <c r="B31" s="219"/>
      <c r="C31" s="219"/>
      <c r="D31" s="220" t="s">
        <v>189</v>
      </c>
      <c r="E31" s="373">
        <f t="shared" si="14"/>
        <v>1.945236</v>
      </c>
      <c r="F31" s="221">
        <f>$V$42</f>
        <v>1.074516</v>
      </c>
      <c r="G31" s="395">
        <f>$AF$42</f>
        <v>2.7660000000000001E-2</v>
      </c>
      <c r="J31" s="265" t="s">
        <v>225</v>
      </c>
      <c r="K31" s="270"/>
      <c r="L31" s="271"/>
      <c r="M31" s="282"/>
      <c r="N31" s="272"/>
      <c r="O31" s="272"/>
      <c r="P31" s="272"/>
      <c r="Q31" s="272"/>
      <c r="R31" s="274">
        <f>-(R30-R17)*D21</f>
        <v>0</v>
      </c>
      <c r="T31" s="265" t="s">
        <v>210</v>
      </c>
      <c r="U31" s="270"/>
      <c r="V31" s="271"/>
      <c r="W31" s="282"/>
      <c r="X31" s="272"/>
      <c r="Y31" s="272"/>
      <c r="Z31" s="272"/>
      <c r="AA31" s="272"/>
      <c r="AB31" s="274">
        <f>-(AB30-AB17)*E21</f>
        <v>0</v>
      </c>
      <c r="AD31" s="265" t="s">
        <v>210</v>
      </c>
      <c r="AE31" s="270"/>
      <c r="AF31" s="271"/>
      <c r="AG31" s="282"/>
      <c r="AH31" s="279"/>
      <c r="AI31" s="272"/>
      <c r="AJ31" s="272"/>
      <c r="AK31" s="272"/>
      <c r="AL31" s="274">
        <f>-(AL30-AL17)*F21</f>
        <v>0</v>
      </c>
    </row>
    <row r="32" spans="1:38" x14ac:dyDescent="0.25">
      <c r="J32" s="265" t="s">
        <v>211</v>
      </c>
      <c r="K32" s="270"/>
      <c r="L32" s="270"/>
      <c r="M32" s="283"/>
      <c r="N32" s="279">
        <f>0-N13</f>
        <v>-7200</v>
      </c>
      <c r="O32" s="272">
        <f>N13-O13</f>
        <v>-17800</v>
      </c>
      <c r="P32" s="272">
        <f>O13-P13</f>
        <v>0</v>
      </c>
      <c r="Q32" s="272">
        <f>P13-Q13</f>
        <v>0</v>
      </c>
      <c r="R32" s="274">
        <f>Q13-R13</f>
        <v>0</v>
      </c>
      <c r="T32" s="265" t="s">
        <v>211</v>
      </c>
      <c r="U32" s="270"/>
      <c r="V32" s="270"/>
      <c r="W32" s="283"/>
      <c r="X32" s="279">
        <f>0-X13</f>
        <v>-7200</v>
      </c>
      <c r="Y32" s="272">
        <f>X13-Y13</f>
        <v>-28400</v>
      </c>
      <c r="Z32" s="272">
        <f>Y13-Z13</f>
        <v>-14440</v>
      </c>
      <c r="AA32" s="272">
        <f>Z13-AA13</f>
        <v>-19816</v>
      </c>
      <c r="AB32" s="274">
        <f>AA13-AB13</f>
        <v>-6985.6000000000204</v>
      </c>
      <c r="AD32" s="265" t="s">
        <v>211</v>
      </c>
      <c r="AE32" s="270"/>
      <c r="AF32" s="270"/>
      <c r="AG32" s="283"/>
      <c r="AH32" s="279">
        <f>0-AH13</f>
        <v>-7200</v>
      </c>
      <c r="AI32" s="272">
        <f>AH13-AI13</f>
        <v>-617800</v>
      </c>
      <c r="AJ32" s="272">
        <f>AI13-AJ13</f>
        <v>-500000</v>
      </c>
      <c r="AK32" s="272">
        <f>AJ13-AK13</f>
        <v>-247600</v>
      </c>
      <c r="AL32" s="274">
        <f>AK13-AL13</f>
        <v>-137260.00000000023</v>
      </c>
    </row>
    <row r="33" spans="10:38" x14ac:dyDescent="0.25">
      <c r="J33" s="265" t="s">
        <v>212</v>
      </c>
      <c r="K33" s="270"/>
      <c r="L33" s="271"/>
      <c r="M33" s="271"/>
      <c r="N33" s="279">
        <f>E8*(1-E21)</f>
        <v>21504.742980129136</v>
      </c>
      <c r="O33" s="272">
        <f>N33</f>
        <v>21504.742980129136</v>
      </c>
      <c r="P33" s="272">
        <f>O33</f>
        <v>21504.742980129136</v>
      </c>
      <c r="Q33" s="272">
        <f>P33</f>
        <v>21504.742980129136</v>
      </c>
      <c r="R33" s="274">
        <f>Q33</f>
        <v>21504.742980129136</v>
      </c>
      <c r="T33" s="265" t="s">
        <v>212</v>
      </c>
      <c r="U33" s="270"/>
      <c r="V33" s="271"/>
      <c r="W33" s="271"/>
      <c r="X33" s="279">
        <f>F8*(1-F21)</f>
        <v>21417.16409984068</v>
      </c>
      <c r="Y33" s="272">
        <f>X33</f>
        <v>21417.16409984068</v>
      </c>
      <c r="Z33" s="272">
        <f>Y33</f>
        <v>21417.16409984068</v>
      </c>
      <c r="AA33" s="272">
        <f>Z33</f>
        <v>21417.16409984068</v>
      </c>
      <c r="AB33" s="274">
        <f>AA33</f>
        <v>21417.16409984068</v>
      </c>
      <c r="AD33" s="265" t="s">
        <v>212</v>
      </c>
      <c r="AE33" s="270"/>
      <c r="AF33" s="271"/>
      <c r="AG33" s="271"/>
      <c r="AH33" s="279">
        <f>F8*(1-$G$53)</f>
        <v>22940</v>
      </c>
      <c r="AI33" s="272">
        <f>AH33</f>
        <v>22940</v>
      </c>
      <c r="AJ33" s="272">
        <f>AI33</f>
        <v>22940</v>
      </c>
      <c r="AK33" s="272">
        <f>AJ33</f>
        <v>22940</v>
      </c>
      <c r="AL33" s="274">
        <f>AK33</f>
        <v>22940</v>
      </c>
    </row>
    <row r="34" spans="10:38" ht="15.75" thickBot="1" x14ac:dyDescent="0.3">
      <c r="J34" s="284" t="s">
        <v>213</v>
      </c>
      <c r="K34" s="285"/>
      <c r="L34" s="286"/>
      <c r="M34" s="286"/>
      <c r="N34" s="287"/>
      <c r="O34" s="287">
        <f>-$E$41*(1-$E$53)</f>
        <v>0</v>
      </c>
      <c r="P34" s="287">
        <f>O34</f>
        <v>0</v>
      </c>
      <c r="Q34" s="287">
        <f>P34</f>
        <v>0</v>
      </c>
      <c r="R34" s="288">
        <f>Q34</f>
        <v>0</v>
      </c>
      <c r="T34" s="284" t="s">
        <v>213</v>
      </c>
      <c r="U34" s="285"/>
      <c r="V34" s="286"/>
      <c r="W34" s="286"/>
      <c r="X34" s="287"/>
      <c r="Y34" s="287">
        <f>-E9*(1-$F$53)</f>
        <v>0</v>
      </c>
      <c r="Z34" s="287">
        <f>Y34</f>
        <v>0</v>
      </c>
      <c r="AA34" s="287">
        <f>Z34</f>
        <v>0</v>
      </c>
      <c r="AB34" s="288">
        <f>AA34</f>
        <v>0</v>
      </c>
      <c r="AD34" s="284" t="s">
        <v>213</v>
      </c>
      <c r="AE34" s="285"/>
      <c r="AF34" s="286"/>
      <c r="AG34" s="286"/>
      <c r="AH34" s="287"/>
      <c r="AI34" s="287">
        <f>-$G$41*(1-$G$53)</f>
        <v>0</v>
      </c>
      <c r="AJ34" s="287">
        <f>-$G$41*(1-$G$53)</f>
        <v>0</v>
      </c>
      <c r="AK34" s="287">
        <f>-$G$41*(1-$G$53)</f>
        <v>0</v>
      </c>
      <c r="AL34" s="288">
        <f>-$G$41*(1-$G$53)</f>
        <v>0</v>
      </c>
    </row>
    <row r="35" spans="10:38" ht="15.75" thickBot="1" x14ac:dyDescent="0.3">
      <c r="J35" s="289" t="s">
        <v>214</v>
      </c>
      <c r="K35" s="290"/>
      <c r="L35" s="290"/>
      <c r="M35" s="290"/>
      <c r="N35" s="374">
        <f>-N33+(N32)</f>
        <v>-28704.742980129136</v>
      </c>
      <c r="O35" s="291">
        <f>SUM(O28:O34)</f>
        <v>11263.718480129137</v>
      </c>
      <c r="P35" s="291">
        <f>SUM(P28:P34)</f>
        <v>18451.450480129133</v>
      </c>
      <c r="Q35" s="291">
        <f>SUM(Q28:Q34)</f>
        <v>16751.596480129134</v>
      </c>
      <c r="R35" s="292">
        <f>SUM(R28:R34)</f>
        <v>16327.206480129138</v>
      </c>
      <c r="T35" s="334" t="s">
        <v>214</v>
      </c>
      <c r="U35" s="335"/>
      <c r="V35" s="335"/>
      <c r="W35" s="335"/>
      <c r="X35" s="374">
        <f>-X33+(X32)</f>
        <v>-28617.16409984068</v>
      </c>
      <c r="Y35" s="336">
        <f>SUM(Y28:Y34)</f>
        <v>20771.80351984068</v>
      </c>
      <c r="Z35" s="291">
        <f>SUM(Z28:Z34)</f>
        <v>105280.45839984067</v>
      </c>
      <c r="AA35" s="291">
        <f>SUM(AA28:AA34)</f>
        <v>209924.72503984068</v>
      </c>
      <c r="AB35" s="292">
        <f>SUM(AB28:AB34)</f>
        <v>375266.03903984069</v>
      </c>
      <c r="AD35" s="334" t="s">
        <v>214</v>
      </c>
      <c r="AE35" s="335"/>
      <c r="AF35" s="335"/>
      <c r="AG35" s="335"/>
      <c r="AH35" s="374" cm="1">
        <f t="array" ref="AH35">-SUM(ABS(AH29:AH34))</f>
        <v>-30140</v>
      </c>
      <c r="AI35" s="336">
        <f>SUM(AI28:AI34)</f>
        <v>1089622.4755000002</v>
      </c>
      <c r="AJ35" s="291">
        <f>SUM(AJ28:AJ34)</f>
        <v>3942485.2074999996</v>
      </c>
      <c r="AK35" s="291">
        <f>SUM(AK28:AK34)</f>
        <v>7854085.3534999993</v>
      </c>
      <c r="AL35" s="292">
        <f>SUM(AL28:AL34)</f>
        <v>9776896.4635000005</v>
      </c>
    </row>
    <row r="36" spans="10:38" ht="15.75" thickBot="1" x14ac:dyDescent="0.3">
      <c r="J36" s="293" t="s">
        <v>215</v>
      </c>
      <c r="K36" s="294"/>
      <c r="L36" s="294"/>
      <c r="M36" s="295"/>
      <c r="N36" s="295"/>
      <c r="O36" s="295"/>
      <c r="P36" s="295"/>
      <c r="Q36" s="466"/>
      <c r="R36" s="467"/>
      <c r="T36" s="293" t="s">
        <v>215</v>
      </c>
      <c r="U36" s="294"/>
      <c r="V36" s="294"/>
      <c r="W36" s="295"/>
      <c r="X36" s="295"/>
      <c r="Y36" s="295"/>
      <c r="Z36" s="295"/>
      <c r="AA36" s="466"/>
      <c r="AB36" s="467"/>
      <c r="AD36" s="293" t="s">
        <v>215</v>
      </c>
      <c r="AE36" s="294"/>
      <c r="AF36" s="294"/>
      <c r="AG36" s="295"/>
      <c r="AH36" s="295"/>
      <c r="AI36" s="295"/>
      <c r="AJ36" s="295"/>
      <c r="AK36" s="466"/>
      <c r="AL36" s="467"/>
    </row>
    <row r="37" spans="10:38" x14ac:dyDescent="0.25">
      <c r="J37" s="468" t="s">
        <v>216</v>
      </c>
      <c r="K37" s="469"/>
      <c r="L37" s="296">
        <f>NPV($E$22,O35:R35)+N35</f>
        <v>9519.9546724080137</v>
      </c>
      <c r="M37" s="470"/>
      <c r="N37" s="471"/>
      <c r="O37" s="471"/>
      <c r="P37" s="471"/>
      <c r="Q37" s="472"/>
      <c r="R37" s="473"/>
      <c r="T37" s="468" t="s">
        <v>216</v>
      </c>
      <c r="U37" s="469"/>
      <c r="V37" s="296">
        <f>NPV(F22,Y35:AB35)+X35</f>
        <v>385921.56196002598</v>
      </c>
      <c r="W37" s="470"/>
      <c r="X37" s="471"/>
      <c r="Y37" s="471"/>
      <c r="Z37" s="471"/>
      <c r="AA37" s="472"/>
      <c r="AB37" s="473"/>
      <c r="AD37" s="468" t="s">
        <v>216</v>
      </c>
      <c r="AE37" s="469"/>
      <c r="AF37" s="296">
        <f>NPV($G$22,AI35:AL35)+AH35</f>
        <v>14270571.397486715</v>
      </c>
      <c r="AG37" s="470"/>
      <c r="AH37" s="471"/>
      <c r="AI37" s="471"/>
      <c r="AJ37" s="471"/>
      <c r="AK37" s="472"/>
      <c r="AL37" s="473"/>
    </row>
    <row r="38" spans="10:38" x14ac:dyDescent="0.25">
      <c r="J38" s="453" t="s">
        <v>117</v>
      </c>
      <c r="K38" s="454"/>
      <c r="L38" s="297">
        <f>IRR(N35:R35)</f>
        <v>0.38047450640962865</v>
      </c>
      <c r="M38" s="455"/>
      <c r="N38" s="456"/>
      <c r="O38" s="456"/>
      <c r="P38" s="456"/>
      <c r="Q38" s="457"/>
      <c r="R38" s="458"/>
      <c r="T38" s="453" t="s">
        <v>117</v>
      </c>
      <c r="U38" s="454"/>
      <c r="V38" s="297">
        <f>IRR(X35:AB35)</f>
        <v>2.1070146364661579</v>
      </c>
      <c r="W38" s="455"/>
      <c r="X38" s="456"/>
      <c r="Y38" s="456"/>
      <c r="Z38" s="456"/>
      <c r="AA38" s="457"/>
      <c r="AB38" s="458"/>
      <c r="AD38" s="453" t="s">
        <v>117</v>
      </c>
      <c r="AE38" s="454"/>
      <c r="AF38" s="351">
        <f>IRR(AH35:AL35)</f>
        <v>38.624367065444673</v>
      </c>
      <c r="AG38" s="455"/>
      <c r="AH38" s="456"/>
      <c r="AI38" s="456"/>
      <c r="AJ38" s="456"/>
      <c r="AK38" s="457"/>
      <c r="AL38" s="458"/>
    </row>
    <row r="39" spans="10:38" x14ac:dyDescent="0.25">
      <c r="J39" s="453" t="s">
        <v>118</v>
      </c>
      <c r="K39" s="454"/>
      <c r="L39" s="297">
        <f>MIRR(N35:R35,$E$22,$E$22)</f>
        <v>0.31056157273916285</v>
      </c>
      <c r="M39" s="455"/>
      <c r="N39" s="456"/>
      <c r="O39" s="456"/>
      <c r="P39" s="456"/>
      <c r="Q39" s="457"/>
      <c r="R39" s="458"/>
      <c r="T39" s="453" t="s">
        <v>118</v>
      </c>
      <c r="U39" s="454"/>
      <c r="V39" s="297">
        <f>MIRR(X35:AB35,$F$22,$F$22)</f>
        <v>1.3020599852219514</v>
      </c>
      <c r="W39" s="455"/>
      <c r="X39" s="456"/>
      <c r="Y39" s="456"/>
      <c r="Z39" s="456"/>
      <c r="AA39" s="457"/>
      <c r="AB39" s="458"/>
      <c r="AD39" s="453" t="s">
        <v>118</v>
      </c>
      <c r="AE39" s="454"/>
      <c r="AF39" s="351">
        <f>MIRR(AH35:AL35,$G$22,$G$22)</f>
        <v>4.4139169303772903</v>
      </c>
      <c r="AG39" s="455"/>
      <c r="AH39" s="456"/>
      <c r="AI39" s="456"/>
      <c r="AJ39" s="456"/>
      <c r="AK39" s="457"/>
      <c r="AL39" s="458"/>
    </row>
    <row r="40" spans="10:38" x14ac:dyDescent="0.25">
      <c r="J40" s="453" t="s">
        <v>217</v>
      </c>
      <c r="K40" s="454"/>
      <c r="L40" s="298">
        <f>NPV($E$22,O35:R35)/(-N35)</f>
        <v>1.3316509288725631</v>
      </c>
      <c r="M40" s="474"/>
      <c r="N40" s="475"/>
      <c r="O40" s="475"/>
      <c r="P40" s="475"/>
      <c r="Q40" s="476"/>
      <c r="R40" s="477"/>
      <c r="T40" s="453" t="s">
        <v>217</v>
      </c>
      <c r="U40" s="454"/>
      <c r="V40" s="298">
        <f>NPV($F$22,Y35:AB35)/(-X35)</f>
        <v>14.485667573963925</v>
      </c>
      <c r="W40" s="474"/>
      <c r="X40" s="475"/>
      <c r="Y40" s="475"/>
      <c r="Z40" s="475"/>
      <c r="AA40" s="476"/>
      <c r="AB40" s="477"/>
      <c r="AD40" s="453" t="s">
        <v>217</v>
      </c>
      <c r="AE40" s="454"/>
      <c r="AF40" s="298">
        <f>NPV($G$22,AI35:AL35)/(-AH35)</f>
        <v>474.47615784627453</v>
      </c>
      <c r="AG40" s="474"/>
      <c r="AH40" s="475"/>
      <c r="AI40" s="475"/>
      <c r="AJ40" s="475"/>
      <c r="AK40" s="476"/>
      <c r="AL40" s="477"/>
    </row>
    <row r="41" spans="10:38" x14ac:dyDescent="0.25">
      <c r="J41" s="453" t="s">
        <v>119</v>
      </c>
      <c r="K41" s="454"/>
      <c r="L41" s="299">
        <f>PERCENTRANK(N44:R44,0,6)*R43</f>
        <v>1.945236</v>
      </c>
      <c r="M41" s="480"/>
      <c r="N41" s="481"/>
      <c r="O41" s="481"/>
      <c r="P41" s="481"/>
      <c r="Q41" s="476"/>
      <c r="R41" s="477"/>
      <c r="T41" s="453" t="s">
        <v>119</v>
      </c>
      <c r="U41" s="454"/>
      <c r="V41" s="298">
        <f>PERCENTRANK(X44:AB44,0,6)*AB43</f>
        <v>1.074516</v>
      </c>
      <c r="W41" s="480"/>
      <c r="X41" s="481"/>
      <c r="Y41" s="481"/>
      <c r="Z41" s="481"/>
      <c r="AA41" s="476"/>
      <c r="AB41" s="477"/>
      <c r="AD41" s="453" t="s">
        <v>119</v>
      </c>
      <c r="AE41" s="454"/>
      <c r="AF41" s="298">
        <f>PERCENTRANK(AH44:AL44,0,6)*AL43</f>
        <v>2.7660000000000001E-2</v>
      </c>
      <c r="AG41" s="480"/>
      <c r="AH41" s="481"/>
      <c r="AI41" s="481"/>
      <c r="AJ41" s="481"/>
      <c r="AK41" s="476"/>
      <c r="AL41" s="477"/>
    </row>
    <row r="42" spans="10:38" ht="15.75" thickBot="1" x14ac:dyDescent="0.3">
      <c r="J42" s="482" t="s">
        <v>218</v>
      </c>
      <c r="K42" s="483"/>
      <c r="L42" s="299">
        <f>PERCENTRANK(N46:R46,0,6)*R43</f>
        <v>1.945236</v>
      </c>
      <c r="M42" s="480"/>
      <c r="N42" s="481"/>
      <c r="O42" s="481"/>
      <c r="P42" s="481"/>
      <c r="Q42" s="476"/>
      <c r="R42" s="477"/>
      <c r="T42" s="482" t="s">
        <v>218</v>
      </c>
      <c r="U42" s="483"/>
      <c r="V42" s="298">
        <f>PERCENTRANK(X46:AB46,0,6)*AB43</f>
        <v>1.074516</v>
      </c>
      <c r="W42" s="480"/>
      <c r="X42" s="481"/>
      <c r="Y42" s="481"/>
      <c r="Z42" s="481"/>
      <c r="AA42" s="476"/>
      <c r="AB42" s="477"/>
      <c r="AD42" s="482" t="s">
        <v>218</v>
      </c>
      <c r="AE42" s="483"/>
      <c r="AF42" s="298">
        <f>PERCENTRANK(AH46:AL46,0,6)*AL43</f>
        <v>2.7660000000000001E-2</v>
      </c>
      <c r="AG42" s="480"/>
      <c r="AH42" s="481"/>
      <c r="AI42" s="481"/>
      <c r="AJ42" s="481"/>
      <c r="AK42" s="476"/>
      <c r="AL42" s="477"/>
    </row>
    <row r="43" spans="10:38" x14ac:dyDescent="0.25">
      <c r="J43" s="478" t="s">
        <v>219</v>
      </c>
      <c r="K43" s="479"/>
      <c r="L43" s="479"/>
      <c r="M43" s="300" t="s">
        <v>220</v>
      </c>
      <c r="N43" s="301">
        <f>N19</f>
        <v>0</v>
      </c>
      <c r="O43" s="301">
        <f>O19</f>
        <v>1</v>
      </c>
      <c r="P43" s="301">
        <f>P19</f>
        <v>2</v>
      </c>
      <c r="Q43" s="301">
        <f>Q19</f>
        <v>3</v>
      </c>
      <c r="R43" s="302">
        <f>R19</f>
        <v>4</v>
      </c>
      <c r="T43" s="478" t="s">
        <v>219</v>
      </c>
      <c r="U43" s="479"/>
      <c r="V43" s="479"/>
      <c r="W43" s="300" t="s">
        <v>220</v>
      </c>
      <c r="X43" s="301">
        <f>X19</f>
        <v>0</v>
      </c>
      <c r="Y43" s="301">
        <f>Y19</f>
        <v>1</v>
      </c>
      <c r="Z43" s="301">
        <f>Z19</f>
        <v>2</v>
      </c>
      <c r="AA43" s="301">
        <f>AA19</f>
        <v>3</v>
      </c>
      <c r="AB43" s="302">
        <f>AB19</f>
        <v>4</v>
      </c>
      <c r="AD43" s="478" t="s">
        <v>219</v>
      </c>
      <c r="AE43" s="479"/>
      <c r="AF43" s="479"/>
      <c r="AG43" s="300" t="s">
        <v>220</v>
      </c>
      <c r="AH43" s="301">
        <f>AH19</f>
        <v>0</v>
      </c>
      <c r="AI43" s="301">
        <f>AI19</f>
        <v>1</v>
      </c>
      <c r="AJ43" s="301">
        <f>AJ19</f>
        <v>2</v>
      </c>
      <c r="AK43" s="301">
        <f>AK19</f>
        <v>3</v>
      </c>
      <c r="AL43" s="302">
        <f>AL19</f>
        <v>4</v>
      </c>
    </row>
    <row r="44" spans="10:38" x14ac:dyDescent="0.25">
      <c r="J44" s="303" t="s">
        <v>221</v>
      </c>
      <c r="K44" s="304"/>
      <c r="L44" s="304"/>
      <c r="M44" s="304"/>
      <c r="N44" s="305">
        <f>N35</f>
        <v>-28704.742980129136</v>
      </c>
      <c r="O44" s="305">
        <f>N35+O35</f>
        <v>-17441.0245</v>
      </c>
      <c r="P44" s="305">
        <f>O44+P35</f>
        <v>1010.4259801291337</v>
      </c>
      <c r="Q44" s="305">
        <f>P44+Q35</f>
        <v>17762.022460258268</v>
      </c>
      <c r="R44" s="306">
        <f>Q44+R35</f>
        <v>34089.228940387402</v>
      </c>
      <c r="T44" s="303" t="s">
        <v>221</v>
      </c>
      <c r="U44" s="304"/>
      <c r="V44" s="304"/>
      <c r="W44" s="304"/>
      <c r="X44" s="305">
        <f>X35</f>
        <v>-28617.16409984068</v>
      </c>
      <c r="Y44" s="305">
        <f>X35+Y35</f>
        <v>-7845.3605800000005</v>
      </c>
      <c r="Z44" s="305">
        <f>Y44+Z35</f>
        <v>97435.097819840681</v>
      </c>
      <c r="AA44" s="305">
        <f>Z44+AA35</f>
        <v>307359.82285968133</v>
      </c>
      <c r="AB44" s="306">
        <f>AA44+AB35</f>
        <v>682625.86189952202</v>
      </c>
      <c r="AD44" s="303" t="s">
        <v>221</v>
      </c>
      <c r="AE44" s="304"/>
      <c r="AF44" s="304"/>
      <c r="AG44" s="304"/>
      <c r="AH44" s="305">
        <f>AH35</f>
        <v>-30140</v>
      </c>
      <c r="AI44" s="305">
        <f>AH35+AI35</f>
        <v>1059482.4755000002</v>
      </c>
      <c r="AJ44" s="305">
        <f>AI44+AJ35</f>
        <v>5001967.6830000002</v>
      </c>
      <c r="AK44" s="305">
        <f>AJ44+AK35</f>
        <v>12856053.036499999</v>
      </c>
      <c r="AL44" s="306">
        <f>AK44+AL35</f>
        <v>22632949.5</v>
      </c>
    </row>
    <row r="45" spans="10:38" x14ac:dyDescent="0.25">
      <c r="J45" s="307" t="s">
        <v>222</v>
      </c>
      <c r="K45" s="271"/>
      <c r="L45" s="271"/>
      <c r="M45" s="271"/>
      <c r="N45" s="308">
        <f>N35/(1+$F$52)^N19</f>
        <v>-28704.742980129136</v>
      </c>
      <c r="O45" s="308">
        <f>O35/(1+$F$52)^O19</f>
        <v>11263.718480129137</v>
      </c>
      <c r="P45" s="308">
        <f>P35/(1+$F$52)^P19</f>
        <v>18451.450480129133</v>
      </c>
      <c r="Q45" s="308">
        <f>Q35/(1+$F$52)^Q19</f>
        <v>16751.596480129134</v>
      </c>
      <c r="R45" s="309">
        <f>R35/(1+$F$52)^R19</f>
        <v>16327.206480129138</v>
      </c>
      <c r="T45" s="307" t="s">
        <v>222</v>
      </c>
      <c r="U45" s="271"/>
      <c r="V45" s="271"/>
      <c r="W45" s="271"/>
      <c r="X45" s="308">
        <f>X35/(1+$F$52)^X19</f>
        <v>-28617.16409984068</v>
      </c>
      <c r="Y45" s="308">
        <f>Y35/(1+$F$52)^Y19</f>
        <v>20771.80351984068</v>
      </c>
      <c r="Z45" s="308">
        <f>Z35/(1+$F$52)^Z19</f>
        <v>105280.45839984067</v>
      </c>
      <c r="AA45" s="308">
        <f>AA35/(1+$F$52)^AA19</f>
        <v>209924.72503984068</v>
      </c>
      <c r="AB45" s="309">
        <f>AB35/(1+$F$52)^AB19</f>
        <v>375266.03903984069</v>
      </c>
      <c r="AD45" s="307" t="s">
        <v>222</v>
      </c>
      <c r="AE45" s="271"/>
      <c r="AF45" s="271"/>
      <c r="AG45" s="271"/>
      <c r="AH45" s="308">
        <f>AH35/(1+$F$52)^AH19</f>
        <v>-30140</v>
      </c>
      <c r="AI45" s="308">
        <f>AI35/(1+$F$52)^AI19</f>
        <v>1089622.4755000002</v>
      </c>
      <c r="AJ45" s="308">
        <f>AJ35/(1+$F$52)^AJ19</f>
        <v>3942485.2074999996</v>
      </c>
      <c r="AK45" s="308">
        <f>AK35/(1+$F$52)^AK19</f>
        <v>7854085.3534999993</v>
      </c>
      <c r="AL45" s="309">
        <f>AL35/(1+$F$52)^AL19</f>
        <v>9776896.4635000005</v>
      </c>
    </row>
    <row r="46" spans="10:38" x14ac:dyDescent="0.25">
      <c r="J46" s="310" t="s">
        <v>223</v>
      </c>
      <c r="K46" s="311"/>
      <c r="L46" s="311"/>
      <c r="M46" s="311"/>
      <c r="N46" s="312">
        <f>N45</f>
        <v>-28704.742980129136</v>
      </c>
      <c r="O46" s="312">
        <f>N46+O45</f>
        <v>-17441.0245</v>
      </c>
      <c r="P46" s="312">
        <f>O46+P45</f>
        <v>1010.4259801291337</v>
      </c>
      <c r="Q46" s="312">
        <f>P46+Q45</f>
        <v>17762.022460258268</v>
      </c>
      <c r="R46" s="313">
        <f>Q46+R45</f>
        <v>34089.228940387402</v>
      </c>
      <c r="T46" s="310" t="s">
        <v>223</v>
      </c>
      <c r="U46" s="311"/>
      <c r="V46" s="311"/>
      <c r="W46" s="311"/>
      <c r="X46" s="312">
        <f>X45</f>
        <v>-28617.16409984068</v>
      </c>
      <c r="Y46" s="312">
        <f>X46+Y45</f>
        <v>-7845.3605800000005</v>
      </c>
      <c r="Z46" s="312">
        <f>Y46+Z45</f>
        <v>97435.097819840681</v>
      </c>
      <c r="AA46" s="312">
        <f>Z46+AA45</f>
        <v>307359.82285968133</v>
      </c>
      <c r="AB46" s="313">
        <f>AA46+AB45</f>
        <v>682625.86189952202</v>
      </c>
      <c r="AD46" s="310" t="s">
        <v>223</v>
      </c>
      <c r="AE46" s="311"/>
      <c r="AF46" s="311"/>
      <c r="AG46" s="311"/>
      <c r="AH46" s="312">
        <f>AH45</f>
        <v>-30140</v>
      </c>
      <c r="AI46" s="312">
        <f>AH46+AI45</f>
        <v>1059482.4755000002</v>
      </c>
      <c r="AJ46" s="312">
        <f>AI46+AJ45</f>
        <v>5001967.6830000002</v>
      </c>
      <c r="AK46" s="312">
        <f>AJ46+AK45</f>
        <v>12856053.036499999</v>
      </c>
      <c r="AL46" s="313">
        <f>AK46+AL45</f>
        <v>22632949.5</v>
      </c>
    </row>
    <row r="47" spans="10:38" ht="15.75" thickBot="1" x14ac:dyDescent="0.3">
      <c r="J47" s="314"/>
      <c r="K47" s="315"/>
      <c r="L47" s="315"/>
      <c r="M47" s="315"/>
      <c r="N47" s="315"/>
      <c r="O47" s="315"/>
      <c r="P47" s="315"/>
      <c r="Q47" s="315"/>
      <c r="R47" s="316"/>
      <c r="T47" s="314"/>
      <c r="U47" s="315"/>
      <c r="V47" s="315"/>
      <c r="W47" s="315"/>
      <c r="X47" s="315"/>
      <c r="Y47" s="315"/>
      <c r="Z47" s="315"/>
      <c r="AA47" s="315"/>
      <c r="AB47" s="316"/>
      <c r="AD47" s="314"/>
      <c r="AE47" s="315"/>
      <c r="AF47" s="315"/>
      <c r="AG47" s="315"/>
      <c r="AH47" s="315"/>
      <c r="AI47" s="315"/>
      <c r="AJ47" s="315"/>
      <c r="AK47" s="315"/>
      <c r="AL47" s="316"/>
    </row>
  </sheetData>
  <mergeCells count="81">
    <mergeCell ref="AD43:AF43"/>
    <mergeCell ref="AD41:AE41"/>
    <mergeCell ref="AG41:AJ41"/>
    <mergeCell ref="AK41:AL41"/>
    <mergeCell ref="AD42:AE42"/>
    <mergeCell ref="AG42:AJ42"/>
    <mergeCell ref="AK42:AL42"/>
    <mergeCell ref="AG38:AJ38"/>
    <mergeCell ref="AK38:AL38"/>
    <mergeCell ref="AD39:AE39"/>
    <mergeCell ref="AG39:AJ39"/>
    <mergeCell ref="AK39:AL39"/>
    <mergeCell ref="AG40:AJ40"/>
    <mergeCell ref="AK40:AL40"/>
    <mergeCell ref="T42:U42"/>
    <mergeCell ref="W42:Z42"/>
    <mergeCell ref="AA42:AB42"/>
    <mergeCell ref="T43:V43"/>
    <mergeCell ref="AI18:AL18"/>
    <mergeCell ref="AK36:AL36"/>
    <mergeCell ref="AD37:AE37"/>
    <mergeCell ref="AG37:AJ37"/>
    <mergeCell ref="AK37:AL37"/>
    <mergeCell ref="AD38:AE38"/>
    <mergeCell ref="W39:Z39"/>
    <mergeCell ref="AA39:AB39"/>
    <mergeCell ref="T40:U40"/>
    <mergeCell ref="W40:Z40"/>
    <mergeCell ref="AA40:AB40"/>
    <mergeCell ref="T41:U41"/>
    <mergeCell ref="W41:Z41"/>
    <mergeCell ref="AA41:AB41"/>
    <mergeCell ref="AD40:AE40"/>
    <mergeCell ref="J43:L43"/>
    <mergeCell ref="Y18:AB18"/>
    <mergeCell ref="AA36:AB36"/>
    <mergeCell ref="T37:U37"/>
    <mergeCell ref="W37:Z37"/>
    <mergeCell ref="AA37:AB37"/>
    <mergeCell ref="T38:U38"/>
    <mergeCell ref="W38:Z38"/>
    <mergeCell ref="AA38:AB38"/>
    <mergeCell ref="T39:U39"/>
    <mergeCell ref="J41:K41"/>
    <mergeCell ref="M41:P41"/>
    <mergeCell ref="Q41:R41"/>
    <mergeCell ref="J42:K42"/>
    <mergeCell ref="M42:P42"/>
    <mergeCell ref="Q42:R42"/>
    <mergeCell ref="J39:K39"/>
    <mergeCell ref="M39:P39"/>
    <mergeCell ref="Q39:R39"/>
    <mergeCell ref="J40:K40"/>
    <mergeCell ref="M40:P40"/>
    <mergeCell ref="Q40:R40"/>
    <mergeCell ref="O18:R18"/>
    <mergeCell ref="Q36:R36"/>
    <mergeCell ref="J37:K37"/>
    <mergeCell ref="M37:P37"/>
    <mergeCell ref="Q37:R37"/>
    <mergeCell ref="J38:K38"/>
    <mergeCell ref="M38:P38"/>
    <mergeCell ref="Q38:R38"/>
    <mergeCell ref="A20:D20"/>
    <mergeCell ref="A21:D21"/>
    <mergeCell ref="A22:D22"/>
    <mergeCell ref="A23:D23"/>
    <mergeCell ref="A24:D24"/>
    <mergeCell ref="A25:B25"/>
    <mergeCell ref="A19:D19"/>
    <mergeCell ref="E3:G3"/>
    <mergeCell ref="A4:D4"/>
    <mergeCell ref="A6:D6"/>
    <mergeCell ref="A8:D8"/>
    <mergeCell ref="A9:D9"/>
    <mergeCell ref="A10:D10"/>
    <mergeCell ref="A11:D11"/>
    <mergeCell ref="A12:D12"/>
    <mergeCell ref="A16:D16"/>
    <mergeCell ref="A17:D17"/>
    <mergeCell ref="A18:D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2724A-4260-402B-A13A-230B6DF63CDE}">
  <dimension ref="A1:G26"/>
  <sheetViews>
    <sheetView tabSelected="1" workbookViewId="0">
      <selection activeCell="D43" sqref="D43"/>
    </sheetView>
  </sheetViews>
  <sheetFormatPr defaultRowHeight="15" x14ac:dyDescent="0.25"/>
  <cols>
    <col min="1" max="1" width="41.5703125" customWidth="1"/>
    <col min="2" max="2" width="11.85546875" bestFit="1" customWidth="1"/>
    <col min="3" max="3" width="15.140625" customWidth="1"/>
    <col min="4" max="4" width="28.85546875" customWidth="1"/>
    <col min="5" max="5" width="13.5703125" customWidth="1"/>
    <col min="6" max="6" width="16.5703125" customWidth="1"/>
  </cols>
  <sheetData>
    <row r="1" spans="1:7" x14ac:dyDescent="0.25">
      <c r="A1" s="406" t="s">
        <v>278</v>
      </c>
      <c r="B1" s="406"/>
      <c r="C1" s="406"/>
      <c r="D1" s="406"/>
      <c r="E1" s="406"/>
      <c r="F1" s="406"/>
      <c r="G1" s="406"/>
    </row>
    <row r="2" spans="1:7" ht="15.75" thickBot="1" x14ac:dyDescent="0.3">
      <c r="A2" s="405"/>
      <c r="B2" s="405"/>
      <c r="C2" s="405"/>
      <c r="D2" s="405"/>
      <c r="E2" s="405"/>
      <c r="F2" s="405"/>
      <c r="G2" s="405"/>
    </row>
    <row r="3" spans="1:7" x14ac:dyDescent="0.25">
      <c r="A3" s="8" t="s">
        <v>251</v>
      </c>
      <c r="B3" s="8" t="s">
        <v>252</v>
      </c>
      <c r="C3" s="8" t="s">
        <v>253</v>
      </c>
      <c r="D3" s="8" t="s">
        <v>270</v>
      </c>
    </row>
    <row r="4" spans="1:7" x14ac:dyDescent="0.25">
      <c r="A4" t="s">
        <v>276</v>
      </c>
      <c r="B4" s="7">
        <v>48</v>
      </c>
      <c r="C4" s="7">
        <v>24</v>
      </c>
      <c r="D4" s="7">
        <f>B4-C4</f>
        <v>24</v>
      </c>
    </row>
    <row r="5" spans="1:7" x14ac:dyDescent="0.25">
      <c r="A5" t="s">
        <v>254</v>
      </c>
      <c r="B5" s="7">
        <v>60</v>
      </c>
      <c r="C5" s="7">
        <v>24</v>
      </c>
      <c r="D5" s="7">
        <f t="shared" ref="D5:D6" si="0">B5-C5</f>
        <v>36</v>
      </c>
    </row>
    <row r="6" spans="1:7" x14ac:dyDescent="0.25">
      <c r="A6" t="s">
        <v>255</v>
      </c>
      <c r="B6" s="7">
        <v>96</v>
      </c>
      <c r="C6" s="7">
        <v>24</v>
      </c>
      <c r="D6" s="7">
        <f t="shared" si="0"/>
        <v>72</v>
      </c>
    </row>
    <row r="9" spans="1:7" x14ac:dyDescent="0.25">
      <c r="A9" s="1" t="s">
        <v>256</v>
      </c>
      <c r="B9" s="1" t="s">
        <v>258</v>
      </c>
      <c r="C9" s="1" t="s">
        <v>259</v>
      </c>
      <c r="D9" s="1" t="s">
        <v>260</v>
      </c>
      <c r="E9" s="1" t="s">
        <v>261</v>
      </c>
      <c r="F9" s="1" t="s">
        <v>262</v>
      </c>
      <c r="G9" s="1"/>
    </row>
    <row r="10" spans="1:7" x14ac:dyDescent="0.25">
      <c r="A10" t="s">
        <v>257</v>
      </c>
      <c r="B10" s="403">
        <v>10000</v>
      </c>
      <c r="C10" s="403">
        <v>10000</v>
      </c>
      <c r="D10" s="403">
        <v>10000</v>
      </c>
      <c r="E10" s="403">
        <v>10000</v>
      </c>
      <c r="F10" s="403">
        <v>10000</v>
      </c>
      <c r="G10" s="403"/>
    </row>
    <row r="11" spans="1:7" x14ac:dyDescent="0.25">
      <c r="A11" t="s">
        <v>263</v>
      </c>
      <c r="B11" s="404">
        <v>0.03</v>
      </c>
      <c r="C11" s="404">
        <v>0.03</v>
      </c>
      <c r="D11" s="404">
        <v>0.03</v>
      </c>
      <c r="E11" s="404">
        <v>0.03</v>
      </c>
      <c r="F11" s="404">
        <v>0.03</v>
      </c>
      <c r="G11" s="404"/>
    </row>
    <row r="12" spans="1:7" x14ac:dyDescent="0.25">
      <c r="A12" t="s">
        <v>264</v>
      </c>
      <c r="B12" s="404">
        <v>7.0000000000000007E-2</v>
      </c>
      <c r="C12" s="404">
        <v>7.0000000000000007E-2</v>
      </c>
      <c r="D12" s="404">
        <v>7.0000000000000007E-2</v>
      </c>
      <c r="E12" s="404">
        <v>7.0000000000000007E-2</v>
      </c>
      <c r="F12" s="404">
        <v>7.0000000000000007E-2</v>
      </c>
    </row>
    <row r="13" spans="1:7" x14ac:dyDescent="0.25">
      <c r="A13" t="s">
        <v>265</v>
      </c>
      <c r="B13" s="404">
        <v>0.12</v>
      </c>
      <c r="C13" s="404">
        <v>0.12</v>
      </c>
      <c r="D13" s="404">
        <v>0.12</v>
      </c>
      <c r="E13" s="404">
        <v>0.12</v>
      </c>
      <c r="F13" s="404">
        <v>0.12</v>
      </c>
    </row>
    <row r="16" spans="1:7" x14ac:dyDescent="0.25">
      <c r="A16" s="1" t="s">
        <v>271</v>
      </c>
      <c r="B16" s="1" t="s">
        <v>258</v>
      </c>
      <c r="C16" s="1" t="s">
        <v>259</v>
      </c>
      <c r="D16" s="1" t="s">
        <v>260</v>
      </c>
      <c r="E16" s="1" t="s">
        <v>261</v>
      </c>
      <c r="F16" s="1" t="s">
        <v>262</v>
      </c>
      <c r="G16" s="1"/>
    </row>
    <row r="17" spans="1:7" x14ac:dyDescent="0.25">
      <c r="A17" t="s">
        <v>269</v>
      </c>
      <c r="B17" s="7">
        <f>B10*$D$4</f>
        <v>240000</v>
      </c>
      <c r="C17" s="7">
        <f t="shared" ref="C17:F17" si="1">C10*$D$4</f>
        <v>240000</v>
      </c>
      <c r="D17" s="7">
        <f t="shared" si="1"/>
        <v>240000</v>
      </c>
      <c r="E17" s="7">
        <f t="shared" si="1"/>
        <v>240000</v>
      </c>
      <c r="F17" s="7">
        <f t="shared" si="1"/>
        <v>240000</v>
      </c>
    </row>
    <row r="18" spans="1:7" x14ac:dyDescent="0.25">
      <c r="A18" t="s">
        <v>266</v>
      </c>
      <c r="B18" s="2" cm="1">
        <f t="array" ref="B18">$B$10*$D$4*PRODUCT((1+$B$11:B$11))</f>
        <v>247200</v>
      </c>
      <c r="C18" s="2" cm="1">
        <f t="array" ref="C18">$B$10*$D$4*PRODUCT((1+$B$11:C$11))</f>
        <v>254616</v>
      </c>
      <c r="D18" s="2" cm="1">
        <f t="array" ref="D18">$B$10*$D$4*PRODUCT((1+$B$11:D$11))</f>
        <v>262254.48</v>
      </c>
      <c r="E18" s="2" cm="1">
        <f t="array" ref="E18">$B$10*$D$4*PRODUCT((1+$B$11:E$11))</f>
        <v>270122.11440000002</v>
      </c>
      <c r="F18" s="2" cm="1">
        <f t="array" ref="F18">$B$10*$D$4*PRODUCT((1+$B$11:F$11))</f>
        <v>278225.77783199999</v>
      </c>
    </row>
    <row r="19" spans="1:7" x14ac:dyDescent="0.25">
      <c r="A19" t="s">
        <v>267</v>
      </c>
      <c r="B19" s="7" cm="1">
        <f t="array" ref="B19">$B$10*$D$4*PRODUCT((1+$B$12:B$12))</f>
        <v>256800.00000000003</v>
      </c>
      <c r="C19" s="7" cm="1">
        <f t="array" ref="C19">$B$10*$D$4*PRODUCT((1+$B$12:C$12))</f>
        <v>274776</v>
      </c>
      <c r="D19" s="7" cm="1">
        <f t="array" ref="D19">$B$10*$D$4*PRODUCT((1+$B$12:D$12))</f>
        <v>294010.32</v>
      </c>
      <c r="E19" s="7" cm="1">
        <f t="array" ref="E19">$B$10*$D$4*PRODUCT((1+$B$12:E$12))</f>
        <v>314591.04240000003</v>
      </c>
      <c r="F19" s="7" cm="1">
        <f t="array" ref="F19">$B$10*$D$4*PRODUCT((1+$B$12:F$12))</f>
        <v>336612.4153680001</v>
      </c>
    </row>
    <row r="20" spans="1:7" x14ac:dyDescent="0.25">
      <c r="A20" t="s">
        <v>268</v>
      </c>
      <c r="B20" s="7" cm="1">
        <f t="array" ref="B20">$B$10*$D$4*PRODUCT((1+$B$13:B$13))</f>
        <v>268800</v>
      </c>
      <c r="C20" s="7" cm="1">
        <f t="array" ref="C20">$B$10*$D$4*PRODUCT((1+$B$13:C$13))</f>
        <v>301056.00000000006</v>
      </c>
      <c r="D20" s="7" cm="1">
        <f t="array" ref="D20">$B$10*$D$4*PRODUCT((1+$B$13:D$13))</f>
        <v>337182.72000000009</v>
      </c>
      <c r="E20" s="7" cm="1">
        <f t="array" ref="E20">$B$10*$D$4*PRODUCT((1+$B$13:E$13))</f>
        <v>377644.64640000014</v>
      </c>
      <c r="F20" s="7" cm="1">
        <f t="array" ref="F20">$B$10*$D$4*PRODUCT((1+$B$13:F$13))</f>
        <v>422962.00396800018</v>
      </c>
    </row>
    <row r="23" spans="1:7" x14ac:dyDescent="0.25">
      <c r="A23" s="1" t="s">
        <v>272</v>
      </c>
      <c r="B23" s="1" t="s">
        <v>258</v>
      </c>
      <c r="C23" s="1" t="s">
        <v>259</v>
      </c>
      <c r="D23" s="1" t="s">
        <v>260</v>
      </c>
      <c r="E23" s="1" t="s">
        <v>261</v>
      </c>
      <c r="F23" s="1" t="s">
        <v>262</v>
      </c>
      <c r="G23" s="1"/>
    </row>
    <row r="24" spans="1:7" x14ac:dyDescent="0.25">
      <c r="A24" t="s">
        <v>273</v>
      </c>
      <c r="B24" s="7">
        <f>$D$4*B10</f>
        <v>240000</v>
      </c>
      <c r="C24" s="7">
        <f t="shared" ref="C24:F24" si="2">$D$4*C10</f>
        <v>240000</v>
      </c>
      <c r="D24" s="7">
        <f t="shared" si="2"/>
        <v>240000</v>
      </c>
      <c r="E24" s="7">
        <f t="shared" si="2"/>
        <v>240000</v>
      </c>
      <c r="F24" s="7">
        <f t="shared" si="2"/>
        <v>240000</v>
      </c>
    </row>
    <row r="25" spans="1:7" x14ac:dyDescent="0.25">
      <c r="A25" t="s">
        <v>274</v>
      </c>
      <c r="B25" s="7">
        <f>$D$5*B10</f>
        <v>360000</v>
      </c>
      <c r="C25" s="7">
        <f t="shared" ref="C25:F25" si="3">$D$5*C10</f>
        <v>360000</v>
      </c>
      <c r="D25" s="7">
        <f t="shared" si="3"/>
        <v>360000</v>
      </c>
      <c r="E25" s="7">
        <f t="shared" si="3"/>
        <v>360000</v>
      </c>
      <c r="F25" s="7">
        <f t="shared" si="3"/>
        <v>360000</v>
      </c>
    </row>
    <row r="26" spans="1:7" x14ac:dyDescent="0.25">
      <c r="A26" t="s">
        <v>275</v>
      </c>
      <c r="B26" s="7">
        <f>$D$6*B10</f>
        <v>720000</v>
      </c>
      <c r="C26" s="7">
        <f t="shared" ref="C26:F26" si="4">$D$6*C10</f>
        <v>720000</v>
      </c>
      <c r="D26" s="7">
        <f t="shared" si="4"/>
        <v>720000</v>
      </c>
      <c r="E26" s="7">
        <f t="shared" si="4"/>
        <v>720000</v>
      </c>
      <c r="F26" s="7">
        <f t="shared" si="4"/>
        <v>720000</v>
      </c>
    </row>
  </sheetData>
  <mergeCells count="1">
    <mergeCell ref="A1: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Cost and Key Assumptions</vt:lpstr>
      <vt:lpstr>Revenue Model</vt:lpstr>
      <vt:lpstr>NPV &amp; FCF Model</vt:lpstr>
      <vt:lpstr>Sensitivity Analysis</vt:lpstr>
      <vt:lpstr>Scenario Analysis</vt:lpstr>
      <vt:lpstr>University Success Impact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Benitez</dc:creator>
  <cp:lastModifiedBy>Matthias Benitez</cp:lastModifiedBy>
  <dcterms:created xsi:type="dcterms:W3CDTF">2025-12-13T17:21:45Z</dcterms:created>
  <dcterms:modified xsi:type="dcterms:W3CDTF">2026-05-28T15:12:41Z</dcterms:modified>
</cp:coreProperties>
</file>